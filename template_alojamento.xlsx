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851BEB4-3DBE-4C11-94B2-AAA67F54375D}" xr6:coauthVersionLast="47" xr6:coauthVersionMax="47" xr10:uidLastSave="{00000000-0000-0000-0000-000000000000}"/>
  <bookViews>
    <workbookView xWindow="-110" yWindow="-110" windowWidth="19420" windowHeight="10300" tabRatio="593" xr2:uid="{00000000-000D-0000-FFFF-FFFF00000000}"/>
  </bookViews>
  <sheets>
    <sheet name="BLOCOS ALOJAMENTO" sheetId="27" r:id="rId1"/>
    <sheet name="BLOCOS ADM" sheetId="29" r:id="rId2"/>
    <sheet name="RESUMO (2)" sheetId="15" state="hidden" r:id="rId3"/>
    <sheet name="BLOCOS CONTÊINER" sheetId="30" r:id="rId4"/>
  </sheets>
  <definedNames>
    <definedName name="_xlnm._FilterDatabase" localSheetId="0" hidden="1">'BLOCOS ALOJAMENTO'!$B$317:$M$381</definedName>
    <definedName name="_xlnm.Print_Area" localSheetId="0">'BLOCOS ALOJAMENTO'!$A$1:$Z$534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3" i="27" l="1"/>
  <c r="C394" i="27"/>
  <c r="M149" i="29"/>
  <c r="H147" i="29"/>
  <c r="C147" i="29"/>
  <c r="M398" i="27"/>
  <c r="R400" i="27"/>
  <c r="W398" i="27"/>
  <c r="H398" i="27"/>
  <c r="C398" i="27"/>
  <c r="I53" i="30"/>
  <c r="I49" i="30"/>
  <c r="I52" i="30"/>
  <c r="I50" i="30"/>
  <c r="D49" i="30"/>
  <c r="M148" i="29"/>
  <c r="M147" i="29"/>
  <c r="M146" i="29"/>
  <c r="M144" i="29"/>
  <c r="M143" i="29"/>
  <c r="M142" i="29"/>
  <c r="M145" i="29"/>
  <c r="W397" i="27"/>
  <c r="W396" i="27"/>
  <c r="W395" i="27"/>
  <c r="W394" i="27"/>
  <c r="W393" i="27"/>
  <c r="R398" i="27"/>
  <c r="R397" i="27"/>
  <c r="R395" i="27"/>
  <c r="R394" i="27"/>
  <c r="R393" i="27"/>
  <c r="M393" i="27"/>
  <c r="H394" i="27"/>
  <c r="C399" i="27"/>
  <c r="C393" i="27"/>
  <c r="M151" i="29" l="1"/>
  <c r="M152" i="29" s="1"/>
  <c r="D51" i="30"/>
  <c r="D50" i="30"/>
  <c r="D57" i="30" s="1"/>
  <c r="R396" i="27"/>
  <c r="I51" i="30"/>
  <c r="I57" i="30" s="1"/>
  <c r="W421" i="27"/>
  <c r="C146" i="29"/>
  <c r="H144" i="29"/>
  <c r="H143" i="29"/>
  <c r="H142" i="29"/>
  <c r="C145" i="29"/>
  <c r="C143" i="29"/>
  <c r="C142" i="29"/>
  <c r="H146" i="29"/>
  <c r="H145" i="29"/>
  <c r="C144" i="29"/>
  <c r="W419" i="27"/>
  <c r="H399" i="27"/>
  <c r="M394" i="27"/>
  <c r="W399" i="27"/>
  <c r="R399" i="27"/>
  <c r="M397" i="27"/>
  <c r="M399" i="27"/>
  <c r="M396" i="27"/>
  <c r="M395" i="27"/>
  <c r="H397" i="27"/>
  <c r="H396" i="27"/>
  <c r="H395" i="27"/>
  <c r="C397" i="27"/>
  <c r="C396" i="27"/>
  <c r="C395" i="27"/>
  <c r="R402" i="27" l="1"/>
  <c r="R403" i="27" s="1"/>
  <c r="C402" i="27"/>
  <c r="C403" i="27" s="1"/>
  <c r="W415" i="27"/>
  <c r="W420" i="27"/>
  <c r="W416" i="27"/>
  <c r="W417" i="27"/>
  <c r="W418" i="27"/>
  <c r="H402" i="27"/>
  <c r="H403" i="27" s="1"/>
  <c r="W414" i="27"/>
  <c r="D58" i="30"/>
  <c r="C151" i="29"/>
  <c r="C152" i="29" s="1"/>
  <c r="H148" i="29"/>
  <c r="H151" i="29" s="1"/>
  <c r="H152" i="29" s="1"/>
  <c r="W402" i="27"/>
  <c r="W403" i="27" s="1"/>
  <c r="W422" i="27" l="1"/>
  <c r="E7" i="15"/>
  <c r="F6" i="15"/>
  <c r="G6" i="15" s="1"/>
  <c r="F5" i="15"/>
  <c r="F7" i="15" s="1"/>
  <c r="G5" i="15" l="1"/>
  <c r="G7" i="15" s="1"/>
  <c r="M402" i="27"/>
  <c r="M403" i="2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<sst xmlns="http://schemas.openxmlformats.org/spreadsheetml/2006/main" count="1788" uniqueCount="579">
  <si>
    <t>BLOCO 1</t>
  </si>
  <si>
    <t xml:space="preserve">  BLOCO O1 (QT 02 A 32)</t>
  </si>
  <si>
    <t>Imagem</t>
  </si>
  <si>
    <t xml:space="preserve">  BLOCO O1 (QT 01 A 31)</t>
  </si>
  <si>
    <t>QUARTO</t>
  </si>
  <si>
    <t>REG.</t>
  </si>
  <si>
    <t>NOME DO ALOJADO</t>
  </si>
  <si>
    <t>FUNÇÃO</t>
  </si>
  <si>
    <t>EMPRESA</t>
  </si>
  <si>
    <t>VAGA</t>
  </si>
  <si>
    <t>EVENILTON SERRA AZEVEDO</t>
  </si>
  <si>
    <t>AJUDANTE DE OBRA</t>
  </si>
  <si>
    <t>GEL</t>
  </si>
  <si>
    <t>JOSE FRANCISCO DE BRITO</t>
  </si>
  <si>
    <t>OP TRATOR</t>
  </si>
  <si>
    <t>LOURENÇO DE OLIVEIRA ARAUJO</t>
  </si>
  <si>
    <t>ELETRICISTA</t>
  </si>
  <si>
    <t>JOSE DO CARMO RODRIGUES SERRAO</t>
  </si>
  <si>
    <t>LIDER DE EQUIPE</t>
  </si>
  <si>
    <t>AJUDANTE DE OBRAS</t>
  </si>
  <si>
    <t>JORGE BATISTA SOUSA</t>
  </si>
  <si>
    <t xml:space="preserve">CARPINTEIRO </t>
  </si>
  <si>
    <t xml:space="preserve">ENOQUE AVELAR MORAIS JUNIO </t>
  </si>
  <si>
    <t>MARTELETEIRO</t>
  </si>
  <si>
    <t>FRANCISCO DE ASSIS  DA CONCEIÇÃO</t>
  </si>
  <si>
    <t>PEDREIRO</t>
  </si>
  <si>
    <t>KEWLYN BRENDON DOS  SANTOS TEIXEITA</t>
  </si>
  <si>
    <t>SOLDADOR</t>
  </si>
  <si>
    <t>ANIBAL DOMINGOS DE OLIVEIRA</t>
  </si>
  <si>
    <t xml:space="preserve">PEDREIRO </t>
  </si>
  <si>
    <t>PAULO PEREIRA DE SOUSA</t>
  </si>
  <si>
    <t>MONTADOR DE ANDAIME</t>
  </si>
  <si>
    <t>JOSE ANDRIKSON RODRIGUES MORAES</t>
  </si>
  <si>
    <t>MOTORISTA DE C. MUNCK</t>
  </si>
  <si>
    <t>FRANCISCO DA CHAGAS DA S. DE OLIVEIRA</t>
  </si>
  <si>
    <t xml:space="preserve">JOSÉ ANTONIO PEREIRA DA SILVA </t>
  </si>
  <si>
    <t>ORLANDO DO NASCIMENTO SILVA</t>
  </si>
  <si>
    <t xml:space="preserve">PAULIMAR MENDES SANTANA </t>
  </si>
  <si>
    <t>CENILSON BALBINO COSTA PINHEIRO</t>
  </si>
  <si>
    <t>EDGAR CARVALHO SILVA</t>
  </si>
  <si>
    <t>CARPINTEIRO</t>
  </si>
  <si>
    <t>LUIZ CARLOS DA SILVA</t>
  </si>
  <si>
    <t>MOTORISTA</t>
  </si>
  <si>
    <t>FJ TERRAPLENAGEM</t>
  </si>
  <si>
    <t>EDJALMA OLIVEIRA</t>
  </si>
  <si>
    <t>RIAN PONPEU DA SILVA</t>
  </si>
  <si>
    <t>AUX.LABOLATORIO</t>
  </si>
  <si>
    <t>LUCIVAL  MESSIAS DOS SANTOS</t>
  </si>
  <si>
    <t xml:space="preserve">IVAN DO VALE DA SILVA </t>
  </si>
  <si>
    <t>RAMIRO SILVA TEIXEIRA</t>
  </si>
  <si>
    <t>RONIEL RAIMUNDO RODRIGUES</t>
  </si>
  <si>
    <t>UEKSON SÁ</t>
  </si>
  <si>
    <t>JADEL PEREIRA DOS SANTOS</t>
  </si>
  <si>
    <t>PERCIVAL DOS SANTOS</t>
  </si>
  <si>
    <t>ANTONIO MARCOS PEREIRA DA SILVA</t>
  </si>
  <si>
    <t>OP.ESCAVADEIRA</t>
  </si>
  <si>
    <t>RAMONFAUSTO MENDES</t>
  </si>
  <si>
    <t>OP.TRATOR</t>
  </si>
  <si>
    <t>MANOEL PEREIRA MENDES</t>
  </si>
  <si>
    <t>OP DE MOTONIVELADORA</t>
  </si>
  <si>
    <t>PEDRO PAULO DO NASCIMENTO</t>
  </si>
  <si>
    <t>RAIMUNDO CARDOSO DA SILVA</t>
  </si>
  <si>
    <t>OP. DE ROLO COMPACTADODOR</t>
  </si>
  <si>
    <t>MARCIO JOSE DA SILVA CONCEICAO</t>
  </si>
  <si>
    <t>MECANICO</t>
  </si>
  <si>
    <t>WILLIAN PERREIRA DA SILVA</t>
  </si>
  <si>
    <t>MOTORISTA DE ONIBUS</t>
  </si>
  <si>
    <t>ESTRELA DE MINAS</t>
  </si>
  <si>
    <t xml:space="preserve">CARLOS HERBER BARROS OLIVEIRA </t>
  </si>
  <si>
    <t>OP. ESCAVADEIRA HIDRAULICA - A</t>
  </si>
  <si>
    <t>BRASTRAN</t>
  </si>
  <si>
    <t>JANIEL HONORATO</t>
  </si>
  <si>
    <t>JOANILSON NASCIMENTO SILVA</t>
  </si>
  <si>
    <t>OP.ROLO COMPACTO</t>
  </si>
  <si>
    <t>LUIZ CARLOS RUFINO</t>
  </si>
  <si>
    <t>THIAGO DEIVID DE SOUSA BRITO</t>
  </si>
  <si>
    <t xml:space="preserve">MOTORISTA DE C. BETONEIRA </t>
  </si>
  <si>
    <t>UILIA MUNIZ DA SILVA</t>
  </si>
  <si>
    <t xml:space="preserve">NILTON MARCHADO </t>
  </si>
  <si>
    <t>MOTORISTA DE C. BETONEIRA</t>
  </si>
  <si>
    <t>JAKCSON  OLIVEIRA DE SOUSA</t>
  </si>
  <si>
    <t>GILMAR RAMOS DA SILVA</t>
  </si>
  <si>
    <t>AILTON  SESA DE AQUINO</t>
  </si>
  <si>
    <t>RAIMUNDO RIBEIRO SOUSA</t>
  </si>
  <si>
    <t>SINALEIRO</t>
  </si>
  <si>
    <t>JUSSIE GARCIA DOS  SANTOS BOAVENTURA</t>
  </si>
  <si>
    <t xml:space="preserve">IGOR GOMES ANDRADE </t>
  </si>
  <si>
    <t>MOTORISTA BASCULHANTE</t>
  </si>
  <si>
    <t>CLAUDEISON DE OLIVEIRA SILVA</t>
  </si>
  <si>
    <t>FJ TERRAPLANAGEM</t>
  </si>
  <si>
    <t>FLAVIO MARCILIO DE SOUSA</t>
  </si>
  <si>
    <t xml:space="preserve">MARCIO JORGE DA SILVA </t>
  </si>
  <si>
    <t>JOSE DOUGLAS DOS SANTOS SILVA</t>
  </si>
  <si>
    <t>OP DE ESCAVADEIRA HIDRAULICA - A</t>
  </si>
  <si>
    <t>LINCOLN GUILHERME VERGILIO FAITAO</t>
  </si>
  <si>
    <t>AUX. DE SERVIÇO GERAIS</t>
  </si>
  <si>
    <t>SILVIO JOSE DOS SANTOS</t>
  </si>
  <si>
    <t>GEVISON NEVES DA SILVA</t>
  </si>
  <si>
    <t>ELIESO ALVES DA SILVA</t>
  </si>
  <si>
    <t>STONE NASCIMENTO OLIVEIRA</t>
  </si>
  <si>
    <t>RODRIGO DOS SANTOS SILVA</t>
  </si>
  <si>
    <t>JEOVANI OLIVEIRA SOUSA</t>
  </si>
  <si>
    <t>FRANCISCO CARLOS GARCES DE OLIVEIRA FILHO</t>
  </si>
  <si>
    <t>OP. ROLO COMPACTADOR</t>
  </si>
  <si>
    <t xml:space="preserve">JOSE REINALDO ALVES DOS SANTOS </t>
  </si>
  <si>
    <t>BLOCO 2</t>
  </si>
  <si>
    <t xml:space="preserve">  BLOCO O2 (QT 34 A 64)</t>
  </si>
  <si>
    <t xml:space="preserve">  BLOCO O2 (QT 33 A 63)</t>
  </si>
  <si>
    <t>NOME</t>
  </si>
  <si>
    <t>LUSCA BALBINO VELOZO</t>
  </si>
  <si>
    <t>ELETRCISTA DE MANUTENÇAO</t>
  </si>
  <si>
    <t>PAULO VITOR PASSOS GAZEL</t>
  </si>
  <si>
    <t>MECANICO DE MAQUINA PESADA</t>
  </si>
  <si>
    <t>JOSE MARCOS DA SILVA GOMES</t>
  </si>
  <si>
    <t>FJTERRAPLANAGEM</t>
  </si>
  <si>
    <t>DOUGLAS AURELIANO DO NASCIMENTO</t>
  </si>
  <si>
    <t>AUX. DE LUBRIFICAÇÃO</t>
  </si>
  <si>
    <t>JAILSON JOSE DAS NEVES</t>
  </si>
  <si>
    <t>ERIC JUAN SILVA GOMES</t>
  </si>
  <si>
    <t xml:space="preserve">ERALDO ANTONIO DE SOUZA </t>
  </si>
  <si>
    <t>OP. DE PA-CARREGADEIRA</t>
  </si>
  <si>
    <t>IRANILDO DA SILVA DE PAZ</t>
  </si>
  <si>
    <t xml:space="preserve">MARTELETEIRO </t>
  </si>
  <si>
    <t>DOMINGOS SOARES ABREU</t>
  </si>
  <si>
    <t>JERRY NOGUEIRA DE OLIVEIRA</t>
  </si>
  <si>
    <t xml:space="preserve">ROMERISON OLIVEIRO PEREIRA </t>
  </si>
  <si>
    <t xml:space="preserve">SOLDADOR </t>
  </si>
  <si>
    <t>DOMINGOS SANTOS RODRIGUES</t>
  </si>
  <si>
    <t>AJUDANTE</t>
  </si>
  <si>
    <t xml:space="preserve">JOSÉ RAIMUNDO GOMES SILVA SOUSA </t>
  </si>
  <si>
    <t xml:space="preserve">DINAILTON DE JESUS PEREIRA </t>
  </si>
  <si>
    <t>MOTORISTA DE C. BASCULANTE</t>
  </si>
  <si>
    <t>ROGERIO ANDRADE DA SILVA</t>
  </si>
  <si>
    <t>TAISSON DAS VIRGENS MOURA</t>
  </si>
  <si>
    <t>GEOVANIO DE ANDRADE MENEZES</t>
  </si>
  <si>
    <t>EUDES GOMES FELIX</t>
  </si>
  <si>
    <t>19491</t>
  </si>
  <si>
    <t>ALAILSON DOS SANTOS</t>
  </si>
  <si>
    <t>BORRACHEIRO</t>
  </si>
  <si>
    <t xml:space="preserve">JAKCSON OLIVEIRA DE SOUSA </t>
  </si>
  <si>
    <t>19242</t>
  </si>
  <si>
    <t>GEOVA LOPES VIEIRA</t>
  </si>
  <si>
    <t>MOTORISTA DE CAMINHAO COMBOIO</t>
  </si>
  <si>
    <t>ADILTON DO NASCIMENTO SOUZA</t>
  </si>
  <si>
    <t xml:space="preserve">LUFRIDO MENDES DE SOUSA </t>
  </si>
  <si>
    <t>ANDERSON ISAC RODRIGUES</t>
  </si>
  <si>
    <t>MECANICO MONTADOR</t>
  </si>
  <si>
    <t>ADALBERTO LUIS DA SILVA</t>
  </si>
  <si>
    <t xml:space="preserve">DJALMA  BENEDITO DA SILVA </t>
  </si>
  <si>
    <t xml:space="preserve">SALVIANO COSTA LOPES </t>
  </si>
  <si>
    <t>LIDER DE CONCRETO</t>
  </si>
  <si>
    <t>LUPATINI</t>
  </si>
  <si>
    <t>PAULO CARDOSO DA SILVA</t>
  </si>
  <si>
    <t>EDILSON MENDES DE SOUSA</t>
  </si>
  <si>
    <t>JADSON CORREIA DA SILVA JUNIOR</t>
  </si>
  <si>
    <t>VALDECI DA CONCEIÇAO</t>
  </si>
  <si>
    <t>APARECIDO DA SILVA MACHADO</t>
  </si>
  <si>
    <t>ISAIAS SANTOS DA  SILVA</t>
  </si>
  <si>
    <t>JOAO PEDRO ROMERO FRASNNELI</t>
  </si>
  <si>
    <t>IVONALDO  SANTOS  FERREIRA</t>
  </si>
  <si>
    <t xml:space="preserve">ADEMIR FERREIRA MATOS </t>
  </si>
  <si>
    <t>BOMBEIRO HIDRAULICO</t>
  </si>
  <si>
    <t>ADENUZIO CASSIANO PEREIRA</t>
  </si>
  <si>
    <t>RAIMUNDO JOSE AZEVEDO SOUSA</t>
  </si>
  <si>
    <t>EDSON MACHADO JUNIO</t>
  </si>
  <si>
    <t>OP DE TRATO ESTEIRA - A</t>
  </si>
  <si>
    <t>JEFERSON SILVA VASCONCELO</t>
  </si>
  <si>
    <t>JONH HERBERTH AGUIAR DE SOUSA</t>
  </si>
  <si>
    <t>AUX. DE LABORATORIO</t>
  </si>
  <si>
    <t>ADEVAN DO NASCIMENTO SANTANA</t>
  </si>
  <si>
    <t>FRANCISCO FELIPE LIMA SOUSA</t>
  </si>
  <si>
    <t>ANDERSON DE SOUZA SANTOS</t>
  </si>
  <si>
    <t>MOTORISTA DE ÔNIBUS</t>
  </si>
  <si>
    <t>WELLINGTON MONTEIRO VAZ</t>
  </si>
  <si>
    <t>MOTORISTA SOCORRISTA</t>
  </si>
  <si>
    <t>HELBER BATISTA DOS SANTOS</t>
  </si>
  <si>
    <t>DAYLO FERNANDES DE SOUSA</t>
  </si>
  <si>
    <t xml:space="preserve">AJUDANTE </t>
  </si>
  <si>
    <t>JOSE DE SOUSA SILVA</t>
  </si>
  <si>
    <t>VANDERLEI DOS SANTOS GUIMARAES</t>
  </si>
  <si>
    <t xml:space="preserve">ROBERTO FERREIRA DA SILVA </t>
  </si>
  <si>
    <t>JOSE INOCENCIO BARBOSA JUNIOR</t>
  </si>
  <si>
    <t>VIBRADORISTA</t>
  </si>
  <si>
    <t>ANTONIO FRANCISCO ROCHA DE SOUSA</t>
  </si>
  <si>
    <t>WOLDSON DA SILVA OLIVEIRA</t>
  </si>
  <si>
    <t xml:space="preserve">GILDENILSON MARIANO DOS SANTOS </t>
  </si>
  <si>
    <t xml:space="preserve">MOT. OP. BETONEIRA </t>
  </si>
  <si>
    <t xml:space="preserve">FRANCISCO  ALVES MONTEIRO FILHO </t>
  </si>
  <si>
    <t xml:space="preserve">JEANIO GODI DOS SANTOS </t>
  </si>
  <si>
    <t>ISRAEL DA CONCEICAO SILVA</t>
  </si>
  <si>
    <t>BLOCO 3</t>
  </si>
  <si>
    <t xml:space="preserve">  BLOCO O3 (QT 066  A 96)</t>
  </si>
  <si>
    <t xml:space="preserve">  BLOCO O3 (QT 65 A 95)</t>
  </si>
  <si>
    <t>ANDRE LUCAS DA SILVA LIMA</t>
  </si>
  <si>
    <t>MONTADOR DE ANDAME</t>
  </si>
  <si>
    <t>ANTONIO VIEIRA DE SALES</t>
  </si>
  <si>
    <t xml:space="preserve">ALLAN MARIZ FARIAS </t>
  </si>
  <si>
    <t>JOSUE VIEIRA DOS SANTOS</t>
  </si>
  <si>
    <t>AUX. LABORATORIO</t>
  </si>
  <si>
    <t>GIVALDO DE JESUS RIBEIRO</t>
  </si>
  <si>
    <t>CAPINTEIRO</t>
  </si>
  <si>
    <t>LUCAS ALVES SANTOS</t>
  </si>
  <si>
    <t>JOSE EDINALDO SILVA SOUSA</t>
  </si>
  <si>
    <t>ANTONIO CRUZ DE AGUIAR</t>
  </si>
  <si>
    <t>SOLDADOR - B</t>
  </si>
  <si>
    <t>GELVAN RIBEIRO DE ARAUJO</t>
  </si>
  <si>
    <t xml:space="preserve">JOSINALDO DOS SANTOS ALVES </t>
  </si>
  <si>
    <t>PEDRO HENRIQUES SANTOS TEIXEIRA</t>
  </si>
  <si>
    <t>BRENIO ANDREI DA SILVA SANTOS</t>
  </si>
  <si>
    <t>JOÃO BATISTA PEDRO DE SOUSA</t>
  </si>
  <si>
    <t>MANOEL SANTANA FREITAS BUGARIM</t>
  </si>
  <si>
    <t xml:space="preserve">EDEVAL BARBOSA DA COSTA </t>
  </si>
  <si>
    <t>MACIEL VIEIRA JORGES</t>
  </si>
  <si>
    <t>CICERO PEREIRA BARBOSA</t>
  </si>
  <si>
    <t>WELLINGTON MIGUEL DOS SANTOS</t>
  </si>
  <si>
    <t>VIBRADOSRISTA</t>
  </si>
  <si>
    <t>SEBATISTAO LEAL DOS SANTOS</t>
  </si>
  <si>
    <t>FRANCISCO  ANULINO DE OLIVEIRA</t>
  </si>
  <si>
    <t>DAMIAO MARIZ FARIA</t>
  </si>
  <si>
    <t>RALSON DE SOUZA CRUZ</t>
  </si>
  <si>
    <t>IVONILDO DE SOUSA ARAUJO</t>
  </si>
  <si>
    <t>CAICK OLIVEIRA LIMA</t>
  </si>
  <si>
    <t>OP. DE ROLO</t>
  </si>
  <si>
    <t>MARCOS AURERIO GASQUE CARDOSO</t>
  </si>
  <si>
    <t>JACKSON SILVA SOUSA</t>
  </si>
  <si>
    <t>OP. DE TRATOR DE ESTEIA</t>
  </si>
  <si>
    <t>JANIO ERANDI SOUZA GOMES</t>
  </si>
  <si>
    <t>MAYCON ALVES DE SOUSA</t>
  </si>
  <si>
    <t>ELBO SOUZA SALOMÃO</t>
  </si>
  <si>
    <t xml:space="preserve">OP. DE MANIPULADOR DE TELESCOPIO </t>
  </si>
  <si>
    <t>LEANDRO LIMA DOS SANTOS</t>
  </si>
  <si>
    <t>EDILSON DA CONCEIÇÃO CARNEIRO</t>
  </si>
  <si>
    <t>MONRADOR DE ANDAIME</t>
  </si>
  <si>
    <t>RAIMUNDO DE SOUSA BASTOS</t>
  </si>
  <si>
    <t>LINDOMAR SOUSA SILVA</t>
  </si>
  <si>
    <t>JOSE AURINO COSME</t>
  </si>
  <si>
    <t xml:space="preserve">MARTELETERO		</t>
  </si>
  <si>
    <t>JOSE GUILHERME DA SILVA</t>
  </si>
  <si>
    <t>JACKSON ALBUQUERQUE DOS REIS</t>
  </si>
  <si>
    <t>NAILSON CLEMENTINO DA SILVA</t>
  </si>
  <si>
    <t>JANUARIO MARCELINO SILVA CARVALHO</t>
  </si>
  <si>
    <t>RAYKONNE DA SLVA PESSOA NASCIMENTO</t>
  </si>
  <si>
    <t>DOMINGOS SANTIAGO DOS SANTOS</t>
  </si>
  <si>
    <t>JOSIVAN GOMES PACHECO</t>
  </si>
  <si>
    <t>JOAO PAULO DOS SANTOS COSTA</t>
  </si>
  <si>
    <t>ANTONIO CARLOS DOS SANTOS MEIRELES</t>
  </si>
  <si>
    <t>MARCELO RODRIGO LIMA SANTOS</t>
  </si>
  <si>
    <t>MARCOS AURELIO GASQUE CARDOSO</t>
  </si>
  <si>
    <t>WESLEY MARINS DA SILVA</t>
  </si>
  <si>
    <t>EVERTON PEREIRA DE OLIVEIRA</t>
  </si>
  <si>
    <t>MESSIAS  JUNIOR DOS SANTOS</t>
  </si>
  <si>
    <t>RAI DE SOUZA ARAUJO</t>
  </si>
  <si>
    <t>LOURIVAL DOS SANTOS</t>
  </si>
  <si>
    <t>RAFAEL RABELO DE SOUZA</t>
  </si>
  <si>
    <t xml:space="preserve">VICENTE DE PAULO DOS SANTOS </t>
  </si>
  <si>
    <t>CONSELMAR</t>
  </si>
  <si>
    <t xml:space="preserve">BENEDITO DE JESUS </t>
  </si>
  <si>
    <t>GABRIEL DA CONCEIÇÃO CARVALHO</t>
  </si>
  <si>
    <t>BLOCO 4</t>
  </si>
  <si>
    <t xml:space="preserve">  BLOCO O4 (QT 97    A 127)</t>
  </si>
  <si>
    <t xml:space="preserve">  BLOCO O4 (QT 98 A 128)</t>
  </si>
  <si>
    <t>MAURO ENRIQUE DA SILVA</t>
  </si>
  <si>
    <t>AJUADANTE DE OBRAS</t>
  </si>
  <si>
    <t>MARCUS ANTONIO DA COSTA ARAUJO</t>
  </si>
  <si>
    <t>RONALDO LIMA DE ARAUJO</t>
  </si>
  <si>
    <t>BEBETO JOSE DA SILVA</t>
  </si>
  <si>
    <t>RIQUELMO DOS SANTOS SOUSA</t>
  </si>
  <si>
    <t>MEIRIVALDO DOS SANTOS SILVA</t>
  </si>
  <si>
    <t>LUBRIFICADOR</t>
  </si>
  <si>
    <t>RAIMUNDO ROBERTO VIANA DA SILVA</t>
  </si>
  <si>
    <t>MOTORISTA  DE C. BASCULANTE</t>
  </si>
  <si>
    <t>CARLOS JOSE DOS SANTOS</t>
  </si>
  <si>
    <t>MOTORISTA DE C. COMBOIO</t>
  </si>
  <si>
    <t xml:space="preserve">NAZIAN FERREIRA DA SILVA </t>
  </si>
  <si>
    <t>FRANCISCO RAI ARAUJO RAMOS</t>
  </si>
  <si>
    <t>JOSEVALDO SOUSA SANTOS</t>
  </si>
  <si>
    <t>HENRIQUE DA SILVA SANTOS</t>
  </si>
  <si>
    <t>MIRAELSON DE  OLIVEIRA SILVA</t>
  </si>
  <si>
    <t>ALEX DOS SANTOS COSTA</t>
  </si>
  <si>
    <t xml:space="preserve">ANTONIO PINTO LIMA </t>
  </si>
  <si>
    <t>MOTORISTA DE BITORNEIRA</t>
  </si>
  <si>
    <t>EDIVALDO FERREIRA DOS SANTOS</t>
  </si>
  <si>
    <t>FRANCISCO MALHERBE RIBEIRO NETO</t>
  </si>
  <si>
    <t>RICARDO DE FRANCA DA SILVA</t>
  </si>
  <si>
    <t>JUSCELINO MANOEL MARIZ</t>
  </si>
  <si>
    <t>DEIGLAN DA SILVA PEREIRA</t>
  </si>
  <si>
    <t>IZAIAS PEREIRA TAVARES</t>
  </si>
  <si>
    <t xml:space="preserve">RAIMUNDO MOURA DE SOUSA </t>
  </si>
  <si>
    <t>PEDRO HENRIQUE ARAUJO RODRIGUES</t>
  </si>
  <si>
    <t>ERISMAR GOMES DA CRUZ</t>
  </si>
  <si>
    <t>FRANCISCO ANDRESON FERNANDES DO CARMO</t>
  </si>
  <si>
    <t>RAIMUNDO DA SILVEIRA ARAUJO</t>
  </si>
  <si>
    <t xml:space="preserve">FRANCISCO COSME DA SILVA </t>
  </si>
  <si>
    <t xml:space="preserve">JOSE MAIKON DE OLIVEIRA </t>
  </si>
  <si>
    <t>OP. DE USINA DE CONCRETO</t>
  </si>
  <si>
    <t>DAMIAO LUIS DE SOUSA</t>
  </si>
  <si>
    <t>HIGO BARROS MORAIS</t>
  </si>
  <si>
    <t>LUCAS VINICIUS OLIVEIRA DOS SANTOS</t>
  </si>
  <si>
    <t>JOSE FRANCISCO DE OLIVEIRA</t>
  </si>
  <si>
    <t>MARCOS MACIEL DE ARAUJO</t>
  </si>
  <si>
    <t>CARNEIRO MATARLUGICA</t>
  </si>
  <si>
    <t>FABIO AUGUSTO SANTOS PEREIRA</t>
  </si>
  <si>
    <t>AUXLIAR TOPOGRAFIA</t>
  </si>
  <si>
    <t>JOSE DA CRUZ MARQUES SANTTOS</t>
  </si>
  <si>
    <t>METARLUGICA</t>
  </si>
  <si>
    <t>DANIEL SOUSA DA SILVA</t>
  </si>
  <si>
    <t>ADEILSON DOS SANTOS</t>
  </si>
  <si>
    <t>AUX. DE COZINHA</t>
  </si>
  <si>
    <t>NUTRIVALE</t>
  </si>
  <si>
    <t>JOSE TEIXEIRA DA SILVA</t>
  </si>
  <si>
    <t xml:space="preserve">MECANICO DE MONTADOR </t>
  </si>
  <si>
    <t>PAULO JOSE DA SILVA</t>
  </si>
  <si>
    <t>JOSE BENEDITO POSSIDONIO DE OLIVEIRA</t>
  </si>
  <si>
    <t>CLORISVALDO T.R. SILVA FILHO</t>
  </si>
  <si>
    <t xml:space="preserve">ADREVAN ANGELIM FREIRE </t>
  </si>
  <si>
    <t xml:space="preserve">COZINHEIRO </t>
  </si>
  <si>
    <t>MARCIEL FRANCISCO RAMOS MUNIZ</t>
  </si>
  <si>
    <t xml:space="preserve">AUX LIMPEZA </t>
  </si>
  <si>
    <t>JOÃO FRANCISCO VIEIRA DE ALMEIDA</t>
  </si>
  <si>
    <t xml:space="preserve">BOMBEIRO HIDRAULICO </t>
  </si>
  <si>
    <t>RODRIGO SILVA FILHO</t>
  </si>
  <si>
    <t>PABLO RUAN CORREIA COSTA</t>
  </si>
  <si>
    <t>AUX DE COZINHA</t>
  </si>
  <si>
    <t>EDCARLOS FIGUEIREDO DAMASCENO</t>
  </si>
  <si>
    <t>MARCIEL  DA  SILVA  ARAUJO</t>
  </si>
  <si>
    <t>MAURO DE SOUSA PEREIRA</t>
  </si>
  <si>
    <t>ADEILSON DE ASSIS PEREIRA SILVA</t>
  </si>
  <si>
    <t>AUX.LIMPEZA</t>
  </si>
  <si>
    <t>RICARDO PEDRO DE SOUZA</t>
  </si>
  <si>
    <t>RAIMUNDO JONATAS DE SOUSA</t>
  </si>
  <si>
    <t>ISAAC TEIXEIRA DOS SANTOS</t>
  </si>
  <si>
    <t>FABIO BENTO GUEDES</t>
  </si>
  <si>
    <t>AMAURI DE MORAES</t>
  </si>
  <si>
    <t>SIDNEY CARLOS SILVA SOARES</t>
  </si>
  <si>
    <t xml:space="preserve">  BLOCO O5 (QT 129  A 159) </t>
  </si>
  <si>
    <t xml:space="preserve">  BLOCO O5 (QT 120 A 160)</t>
  </si>
  <si>
    <t>JOSE LOPES GOMES</t>
  </si>
  <si>
    <t>LUIS FRANCISCO UMBELINO BARROS</t>
  </si>
  <si>
    <t>WESLEY CAUE SOUSA DA SILVA</t>
  </si>
  <si>
    <t>JOSUE FERREIRA GOMES</t>
  </si>
  <si>
    <t>19791</t>
  </si>
  <si>
    <t>IVANILDO DOS SANTOS MAIA MARTINS</t>
  </si>
  <si>
    <t>RUAN JEFERSON DA SILVA  AGUIAR</t>
  </si>
  <si>
    <t>ANTONIO RIBEIRO CORREA</t>
  </si>
  <si>
    <t>JOSE CARLOS LEARTE ALVES</t>
  </si>
  <si>
    <t xml:space="preserve">AJUDANTE DE OBRAS </t>
  </si>
  <si>
    <t xml:space="preserve">OSVALDO MARINHO MINEIRO </t>
  </si>
  <si>
    <t>JOAO BATISTA GOMES DE OLIVEIRA</t>
  </si>
  <si>
    <t>AUX.LABORATORIO</t>
  </si>
  <si>
    <t>LUIS CARLOS LEÃO SOARES</t>
  </si>
  <si>
    <t>VALMIR VIANA DA SILVA</t>
  </si>
  <si>
    <t>DANIEL DA SILVA</t>
  </si>
  <si>
    <t>LOURIVAL PORTILHO ALVES</t>
  </si>
  <si>
    <t xml:space="preserve">MONTADOR DE ANDAEIME </t>
  </si>
  <si>
    <t>ANTONIO DE JESUS DA SILVA CALDAS</t>
  </si>
  <si>
    <t>FRANCISCO DE ASSIS ARAUJO</t>
  </si>
  <si>
    <t>ANDERSON ARAUJO PIRES</t>
  </si>
  <si>
    <t>AUX. MEIO AMBIENTE</t>
  </si>
  <si>
    <t>JOSE PEREIRA DA SILVA</t>
  </si>
  <si>
    <t>ERNANDO JOVEN DOS SANTOS</t>
  </si>
  <si>
    <t>RONALDO DA SILVA MELONIO</t>
  </si>
  <si>
    <t xml:space="preserve">MONTADOR DE ANDEIME </t>
  </si>
  <si>
    <t>ANTONIO DE JESUS PEREIRA DA SILVA</t>
  </si>
  <si>
    <t>19230</t>
  </si>
  <si>
    <t>GRABRIEL ALVES DA SILVA</t>
  </si>
  <si>
    <t xml:space="preserve">EVANALDO VIEIRA DE AQUINO </t>
  </si>
  <si>
    <t>OP. TRATOR</t>
  </si>
  <si>
    <t>ROGERIO RODRIGUES DE SOUZA GANDOLFI</t>
  </si>
  <si>
    <t xml:space="preserve">MOTORISTA </t>
  </si>
  <si>
    <t>DOUGLAS LISBOA DA SILVA</t>
  </si>
  <si>
    <t>JOSE ARNALDO MARIANO FILHO</t>
  </si>
  <si>
    <t>JUNIEL MACEDO BARROS</t>
  </si>
  <si>
    <t>DANIEL DE ALMEIDA BARROS</t>
  </si>
  <si>
    <t>RUAN DE JESUS DINIZ PEREIRA</t>
  </si>
  <si>
    <t>LUCIANO BRUNO SA</t>
  </si>
  <si>
    <t xml:space="preserve">LUCAS DE JESUS DENIZ PEREIRA </t>
  </si>
  <si>
    <t>SINALEIRO RIGGER</t>
  </si>
  <si>
    <t>BRENO DOS SANTOS TEIXEIRA</t>
  </si>
  <si>
    <t>LABORATORISTA</t>
  </si>
  <si>
    <t>CONCREQUALI</t>
  </si>
  <si>
    <t>ANTONIO DE PAULO DA SILVA</t>
  </si>
  <si>
    <t xml:space="preserve">MIGUEL CARNEIRO DE SOUSA </t>
  </si>
  <si>
    <t>JOSE AGUIAR LIMA</t>
  </si>
  <si>
    <t>LUCAS DA SILVA COSTA</t>
  </si>
  <si>
    <t>DOMINGOS DE OLIVEIRA SOUSA</t>
  </si>
  <si>
    <t>GILMARIO GOMES DE OLIVEIRA</t>
  </si>
  <si>
    <t>ALAILSON ALVES FERREIRA DE  CARVALHO</t>
  </si>
  <si>
    <t xml:space="preserve">MARCIO ALVES DA SILVA </t>
  </si>
  <si>
    <t>ADAILTON DA SILVA LIMA</t>
  </si>
  <si>
    <t>JOSE ANTONIO DE OLIVEIRA FILHO</t>
  </si>
  <si>
    <t>IGOR PINHEIRO PEREIRA</t>
  </si>
  <si>
    <t>PAULO HENRIQUE CLEMENTE</t>
  </si>
  <si>
    <t>DOMINGOS DE OLIVEIRA SILVA</t>
  </si>
  <si>
    <t>DEUSVANDIR NOGUEIRA DA SILVA</t>
  </si>
  <si>
    <t>OP.DE ROLO</t>
  </si>
  <si>
    <t>RENATO AUGUSTO SILVA TEXEIRA</t>
  </si>
  <si>
    <t>WANDERSON SOUSA DA CONCEIÇAO</t>
  </si>
  <si>
    <t>AJUDANTE GERAL</t>
  </si>
  <si>
    <t>FABRICIO BAIA DOS PASSOS</t>
  </si>
  <si>
    <t xml:space="preserve">ALARICO DOS SANTOS VIANA </t>
  </si>
  <si>
    <t>JOSE ARNALDO TAVARES JUNIOR</t>
  </si>
  <si>
    <t>OP.DE PEFURATRIS</t>
  </si>
  <si>
    <t>JOSE ELIEDSON DE SOUSA CALVALCANTE</t>
  </si>
  <si>
    <t>JOAO HENRIQUE FERNANDES ARAUHO</t>
  </si>
  <si>
    <t>BLOCO 5</t>
  </si>
  <si>
    <t>ALOJADOS</t>
  </si>
  <si>
    <t>DMT</t>
  </si>
  <si>
    <t>CAF</t>
  </si>
  <si>
    <t>HS LOCAÇÃO E M.DE ESTRUTUR.</t>
  </si>
  <si>
    <t>SAVENHAGO TRANS.</t>
  </si>
  <si>
    <t>TOTAL VAGAS</t>
  </si>
  <si>
    <t>OCUPADAS</t>
  </si>
  <si>
    <t>DISPONÍVEL</t>
  </si>
  <si>
    <t>EMPRESA:</t>
  </si>
  <si>
    <t xml:space="preserve">SAVENHAGO TRANS.	</t>
  </si>
  <si>
    <t xml:space="preserve">DISPONÍVEL </t>
  </si>
  <si>
    <t>BLOCO 1 ADM</t>
  </si>
  <si>
    <t xml:space="preserve">  BLOCO  01 ( 161 a 175 )</t>
  </si>
  <si>
    <t xml:space="preserve">  BLOCO O1 (QT 162 A 176)</t>
  </si>
  <si>
    <t>ADEILTON BEZERRA SILVA  SANTOS</t>
  </si>
  <si>
    <t xml:space="preserve">CLEILSON BISPO DOS SANTOS </t>
  </si>
  <si>
    <t>ENCARREGADO DE OBRAS</t>
  </si>
  <si>
    <t>EDILSON VITURINO GALDINO</t>
  </si>
  <si>
    <t>ANTONIO JOSE DE MACEDO</t>
  </si>
  <si>
    <t>OP.GUINDASTE</t>
  </si>
  <si>
    <t>BRASILGUINDASTE</t>
  </si>
  <si>
    <t>OZIEL ALVES NUNES</t>
  </si>
  <si>
    <t>TOPOGRAFO</t>
  </si>
  <si>
    <t>LAIAN BATISTA DE SOUZA</t>
  </si>
  <si>
    <t>MANGOTEIRO</t>
  </si>
  <si>
    <t>GABRIEL AUGUSTO</t>
  </si>
  <si>
    <t>MAGNO RODRIGUES ARAUJO LIMA</t>
  </si>
  <si>
    <t>LEDER DE EQUIPE</t>
  </si>
  <si>
    <t>JOSIAS MATOS DE FREITAS</t>
  </si>
  <si>
    <t>SUPERVISOR</t>
  </si>
  <si>
    <t xml:space="preserve">MARCOS ANDRE GONCALVES PEREIRA </t>
  </si>
  <si>
    <t>LIDER DE CARPINTARIA</t>
  </si>
  <si>
    <t xml:space="preserve">ERIVAN VIEIRA  DE AQUINO </t>
  </si>
  <si>
    <t xml:space="preserve">ENC. TERRAPLANAGEM </t>
  </si>
  <si>
    <t>ALISSON ALENCAR ARAUJO</t>
  </si>
  <si>
    <t>OFICIAL DE SERVICOS GERAIS</t>
  </si>
  <si>
    <t xml:space="preserve">FABIO RIBEIRO DE SOUSA </t>
  </si>
  <si>
    <t>M. C. COMBOIO ABAST.</t>
  </si>
  <si>
    <t>ALEXANDRE DA SILVA SOUSA</t>
  </si>
  <si>
    <t xml:space="preserve">MOTORISTA SOCORRISTA </t>
  </si>
  <si>
    <t>DALVAN BRANDAO SOUSA SAMPAIO</t>
  </si>
  <si>
    <t xml:space="preserve">TULLES CLEIDE ALVES DOS SANTOS </t>
  </si>
  <si>
    <t xml:space="preserve">APONTADOR </t>
  </si>
  <si>
    <t xml:space="preserve">JOALISON SOUSA SANTOS </t>
  </si>
  <si>
    <t>ALESSANDRO MARTINS CARVALHO</t>
  </si>
  <si>
    <t xml:space="preserve">EULON OLIVEIRA DA SILVA </t>
  </si>
  <si>
    <t xml:space="preserve">FERRAMENTARIA </t>
  </si>
  <si>
    <t xml:space="preserve">KELES SOARES DOS SANTOS </t>
  </si>
  <si>
    <t xml:space="preserve">THIAGO DOS SANTOS MINERVINO </t>
  </si>
  <si>
    <t xml:space="preserve">AUX ALMOXARIFADO </t>
  </si>
  <si>
    <t>EDIVAN JOSE DE SOUSA</t>
  </si>
  <si>
    <t>ENCARREGADO</t>
  </si>
  <si>
    <t>MARCELO DE JESUS SANTOS</t>
  </si>
  <si>
    <t>PEDREIEO</t>
  </si>
  <si>
    <t xml:space="preserve">GELLES FABRICIO DA SILVA </t>
  </si>
  <si>
    <t>KLEYTON  COSMO SÁ</t>
  </si>
  <si>
    <t>JOSE FRANCISCO DA SILVA PEIRA</t>
  </si>
  <si>
    <t>KLESCION DAMIAO SÁ</t>
  </si>
  <si>
    <t>BLOCO 2 ADM</t>
  </si>
  <si>
    <t xml:space="preserve">  BLOCO  02 ( QT 177 A 185 )</t>
  </si>
  <si>
    <t xml:space="preserve">  BLOCO O2 (QT 178 A 186)</t>
  </si>
  <si>
    <t xml:space="preserve">ADREA CHRISTINA PINTO RAMALHO </t>
  </si>
  <si>
    <t>NUTRICIONISTA</t>
  </si>
  <si>
    <t>FRANCISCO EDILSON BEZERRA CESAR</t>
  </si>
  <si>
    <t>TECNICO DE ENFEMAGEM</t>
  </si>
  <si>
    <t xml:space="preserve">MANOEL MESSIAS RIBEIRO ARAUJO </t>
  </si>
  <si>
    <t>LIDER DE TRANSPORTE</t>
  </si>
  <si>
    <t>JOSIMARA COSTA</t>
  </si>
  <si>
    <t xml:space="preserve">AUX. DE LIMPEZA </t>
  </si>
  <si>
    <t>EZIO MANUEL SILVA RIBEIRO</t>
  </si>
  <si>
    <t xml:space="preserve">JADIEL PEREIRA DE SOUSA LEAL </t>
  </si>
  <si>
    <t>ENOQUE DE MORAES GONCALVES</t>
  </si>
  <si>
    <t xml:space="preserve">JOSÉ CASIMIRO NETO </t>
  </si>
  <si>
    <t>ENCARREGADO DE CARPINTARIA</t>
  </si>
  <si>
    <t>RAIMUNDO VIEIRA DA SILVA</t>
  </si>
  <si>
    <t>MIRIAN DE JESUS SILVA</t>
  </si>
  <si>
    <t>AUX DE LIMPEZA</t>
  </si>
  <si>
    <t xml:space="preserve">ANA MARIA ALMEIDA </t>
  </si>
  <si>
    <t xml:space="preserve">AUX DE LIMPEZA </t>
  </si>
  <si>
    <t xml:space="preserve">JOSINENE DE ARAUJO SANTOS </t>
  </si>
  <si>
    <t>JOSÉ MAILSON DOS SANTOS SILVA</t>
  </si>
  <si>
    <t>ROSANGELA OLIVEIRA FERREIRA</t>
  </si>
  <si>
    <t>MARIANA ROCHA CESAR</t>
  </si>
  <si>
    <t>AUX. DE LIMPEZA</t>
  </si>
  <si>
    <t>VIVIANE IPASSE</t>
  </si>
  <si>
    <t>IRACINEIDE RODRIGUES DOS SANTOS</t>
  </si>
  <si>
    <t>SALADEIRA</t>
  </si>
  <si>
    <t>ANA  MARIA DOS SANTOS</t>
  </si>
  <si>
    <t>ROSE PAULA NEVES ALVES</t>
  </si>
  <si>
    <t>AUX.COZINHA</t>
  </si>
  <si>
    <t>BLOCO 3 ADM</t>
  </si>
  <si>
    <t xml:space="preserve">  BLOCO 03 (187 A 207)</t>
  </si>
  <si>
    <t xml:space="preserve">  BLOCO O3 (QT 188 A 208)</t>
  </si>
  <si>
    <t xml:space="preserve">ANTONIO FRANCISCO ALVES FEITOSA </t>
  </si>
  <si>
    <t>ALMIR COSTA PINHEIRO</t>
  </si>
  <si>
    <t xml:space="preserve">WILIAN BARBOSA SANTOS </t>
  </si>
  <si>
    <t>CARLOS ARIEL DE LIMA SOUSA</t>
  </si>
  <si>
    <t>LAERCIO RODRIGUES FARIAS</t>
  </si>
  <si>
    <t>TECNICO DE  S. DO TRABALHO</t>
  </si>
  <si>
    <t>FRANCISCO  PEREIRA DE ARAUJO</t>
  </si>
  <si>
    <t>EDINALDO SOUZA DA SILVA</t>
  </si>
  <si>
    <t>TEC.ENF.DO TABALHO</t>
  </si>
  <si>
    <t>MARDONI PEREIRA DA SILVA</t>
  </si>
  <si>
    <t>ALCIONESIO DOS SANTOS SILVA</t>
  </si>
  <si>
    <t>LEDER DE CARPINTARIA</t>
  </si>
  <si>
    <t xml:space="preserve">FRANCISCO BARBOSA DA CONCEIÇÃO </t>
  </si>
  <si>
    <t>ADALTO DOS SANTOS</t>
  </si>
  <si>
    <t>GERENTE</t>
  </si>
  <si>
    <t>AURELIO DE SOUZA COSTA</t>
  </si>
  <si>
    <t>NEY CLAUDIO DA COSTA SILVEIRA</t>
  </si>
  <si>
    <t>LIDER  DE EQUIPE</t>
  </si>
  <si>
    <t>TIAGO SILVA DA LAPA</t>
  </si>
  <si>
    <t>BRUNO DA SILVA DOS SANTOS</t>
  </si>
  <si>
    <t>EDUARDO BENEDITO DE LIMA</t>
  </si>
  <si>
    <t>GUILHERME SANTANA SILVA</t>
  </si>
  <si>
    <t>IRONILDO PINTO DE MORAS</t>
  </si>
  <si>
    <t>ERENILSON FRANCISCO DE CARVALHO</t>
  </si>
  <si>
    <t>CARLOS LIMA DA SILVA</t>
  </si>
  <si>
    <t>GUSTAVO DOS SANTOS SÁ</t>
  </si>
  <si>
    <t>LUCAS DE ALMEIDA LOPES</t>
  </si>
  <si>
    <t>TIAGO VIDAL</t>
  </si>
  <si>
    <t>ENC. DE ALOJAMENTO</t>
  </si>
  <si>
    <t>EDES FERREIRA</t>
  </si>
  <si>
    <t>MOTORISTA DE BASCULANTE</t>
  </si>
  <si>
    <t>PAULO CEZAR SOUSA DA SILVA</t>
  </si>
  <si>
    <t xml:space="preserve">CICERO DE OLIVEIRA BRITO RODRIGUES </t>
  </si>
  <si>
    <t xml:space="preserve">MOTORISTA C.BASCULHANTE </t>
  </si>
  <si>
    <t>ADALTO MARTINS DA SILVA</t>
  </si>
  <si>
    <t xml:space="preserve">           MOTORISTA</t>
  </si>
  <si>
    <t>RODNEI NUNES CORREIA</t>
  </si>
  <si>
    <t xml:space="preserve">OZEIAS RODRIGUES </t>
  </si>
  <si>
    <t>19845</t>
  </si>
  <si>
    <t>IZAQUEU NEVES DE OLIVEIRA</t>
  </si>
  <si>
    <t>VINICIUS VIEIRA CORREIA</t>
  </si>
  <si>
    <t>AUX GERAL</t>
  </si>
  <si>
    <t>BUCAGRANS</t>
  </si>
  <si>
    <t>CONSTRUSERVE</t>
  </si>
  <si>
    <t>RESUMO GERAL- OCUPAÇÃO DOS ALOJAMENTOS</t>
  </si>
  <si>
    <t>ALOJAMENTO</t>
  </si>
  <si>
    <t>DESCRIÇÃO</t>
  </si>
  <si>
    <t>TOTAL</t>
  </si>
  <si>
    <t>VAGAS</t>
  </si>
  <si>
    <t xml:space="preserve">A </t>
  </si>
  <si>
    <t>PRODUÇÃO</t>
  </si>
  <si>
    <t>B</t>
  </si>
  <si>
    <t xml:space="preserve">  </t>
  </si>
  <si>
    <t>BLOCO (CONTÊINER)</t>
  </si>
  <si>
    <t>CONTÊINER 1</t>
  </si>
  <si>
    <t>CONTÊINER 2</t>
  </si>
  <si>
    <t>LANÇA LOCAÇÃO</t>
  </si>
  <si>
    <t>CAMA</t>
  </si>
  <si>
    <t>COLCHÃO</t>
  </si>
  <si>
    <t>ARMARIO</t>
  </si>
  <si>
    <t>MARCOS ANDRE ROCHA SANTANA</t>
  </si>
  <si>
    <t>WANDERSON PIMHEIRO DE OLIVEIRA</t>
  </si>
  <si>
    <t>GEOVANIO AUGUSTO DA SILVA</t>
  </si>
  <si>
    <t>OPERADOR DE MAQUINAS PESADAS</t>
  </si>
  <si>
    <t xml:space="preserve">            AJUDANTE</t>
  </si>
  <si>
    <t>LUIS CARDOSO DA SILVA</t>
  </si>
  <si>
    <t>JOAQUIM JARDEL DA SILVA</t>
  </si>
  <si>
    <t xml:space="preserve">FRANCISCO DOS SANTOS </t>
  </si>
  <si>
    <t xml:space="preserve">RAIMUNDO DOS SANTOS </t>
  </si>
  <si>
    <t>MARCOS ROBERTO BATISTELA</t>
  </si>
  <si>
    <t>LUCAS PASOTI DA SILVA</t>
  </si>
  <si>
    <t>PAULO SERGIO SÃO FELIX</t>
  </si>
  <si>
    <t>JULIEL VICTOR LIRADO NASCIMENTO</t>
  </si>
  <si>
    <t>PAULO DE SOUZA</t>
  </si>
  <si>
    <t>MARCELO FERNANDO DO NASCIMENTO</t>
  </si>
  <si>
    <t>RAFAEL MARCELINO DA SILVA</t>
  </si>
  <si>
    <t>OUILSON  BALBINO QUEIROZ</t>
  </si>
  <si>
    <t>ARIEL EGIDIO DA CONCEIÇÃO</t>
  </si>
  <si>
    <t>LEANDRO MAURICIO</t>
  </si>
  <si>
    <t>VIGIA</t>
  </si>
  <si>
    <t>ALPHASEG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</si>
</sst>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5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0"/>
      <name val="Calibri"/>
      <family val="2"/>
      <scheme val="minor"/>
    </font>
    <font>
      <sz val="28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0.5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5A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9F85"/>
        <bgColor indexed="64"/>
      </patternFill>
    </fill>
    <fill>
      <patternFill patternType="solid">
        <fgColor rgb="FF9FD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1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39997558519241921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otted">
        <color rgb="FF000000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hair">
        <color indexed="64"/>
      </bottom>
      <diagonal/>
    </border>
    <border>
      <left style="thin">
        <color indexed="64"/>
      </left>
      <right/>
      <top style="thin">
        <color theme="1"/>
      </top>
      <bottom style="hair">
        <color indexed="64"/>
      </bottom>
      <diagonal/>
    </border>
    <border>
      <left/>
      <right/>
      <top style="thin">
        <color theme="1"/>
      </top>
      <bottom style="hair">
        <color indexed="64"/>
      </bottom>
      <diagonal/>
    </border>
    <border>
      <left/>
      <right style="thin">
        <color indexed="64"/>
      </right>
      <top style="thin">
        <color theme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theme="1"/>
      </bottom>
      <diagonal/>
    </border>
    <border>
      <left/>
      <right/>
      <top style="hair">
        <color indexed="64"/>
      </top>
      <bottom style="thin">
        <color theme="1"/>
      </bottom>
      <diagonal/>
    </border>
    <border>
      <left/>
      <right style="thin">
        <color indexed="64"/>
      </right>
      <top style="hair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theme="9" tint="-0.499984740745262"/>
      </top>
      <bottom style="hair">
        <color indexed="64"/>
      </bottom>
      <diagonal/>
    </border>
    <border>
      <left/>
      <right/>
      <top style="hair">
        <color theme="9" tint="-0.499984740745262"/>
      </top>
      <bottom style="hair">
        <color indexed="64"/>
      </bottom>
      <diagonal/>
    </border>
    <border>
      <left/>
      <right style="thin">
        <color indexed="64"/>
      </right>
      <top style="hair">
        <color theme="9" tint="-0.499984740745262"/>
      </top>
      <bottom style="hair">
        <color indexed="64"/>
      </bottom>
      <diagonal/>
    </border>
    <border>
      <left style="thin">
        <color indexed="64"/>
      </left>
      <right/>
      <top style="hair">
        <color theme="9" tint="-0.499984740745262"/>
      </top>
      <bottom/>
      <diagonal/>
    </border>
    <border>
      <left/>
      <right/>
      <top style="hair">
        <color theme="9" tint="-0.499984740745262"/>
      </top>
      <bottom/>
      <diagonal/>
    </border>
    <border>
      <left style="thin">
        <color indexed="64"/>
      </left>
      <right/>
      <top style="hair">
        <color theme="9" tint="-0.499984740745262"/>
      </top>
      <bottom style="hair">
        <color theme="9" tint="-0.499984740745262"/>
      </bottom>
      <diagonal/>
    </border>
    <border>
      <left/>
      <right/>
      <top style="hair">
        <color theme="9" tint="-0.499984740745262"/>
      </top>
      <bottom style="hair">
        <color theme="9" tint="-0.499984740745262"/>
      </bottom>
      <diagonal/>
    </border>
    <border>
      <left/>
      <right style="thin">
        <color indexed="64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theme="9" tint="-0.499984740745262"/>
      </top>
      <bottom/>
      <diagonal/>
    </border>
    <border>
      <left style="thin">
        <color indexed="64"/>
      </left>
      <right/>
      <top style="hair">
        <color theme="9" tint="-0.499984740745262"/>
      </top>
      <bottom style="thin">
        <color rgb="FF000000"/>
      </bottom>
      <diagonal/>
    </border>
    <border>
      <left/>
      <right/>
      <top style="hair">
        <color theme="9" tint="-0.499984740745262"/>
      </top>
      <bottom style="thin">
        <color rgb="FF000000"/>
      </bottom>
      <diagonal/>
    </border>
    <border>
      <left/>
      <right style="thin">
        <color rgb="FF000000"/>
      </right>
      <top style="hair">
        <color theme="9" tint="-0.499984740745262"/>
      </top>
      <bottom style="thin">
        <color rgb="FF000000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theme="9"/>
      </top>
      <bottom style="hair">
        <color indexed="64"/>
      </bottom>
      <diagonal/>
    </border>
    <border>
      <left/>
      <right style="thin">
        <color indexed="64"/>
      </right>
      <top style="hair">
        <color theme="9"/>
      </top>
      <bottom style="hair">
        <color indexed="64"/>
      </bottom>
      <diagonal/>
    </border>
    <border>
      <left style="thin">
        <color indexed="64"/>
      </left>
      <right/>
      <top style="hair">
        <color theme="9"/>
      </top>
      <bottom style="hair">
        <color indexed="64"/>
      </bottom>
      <diagonal/>
    </border>
    <border>
      <left/>
      <right/>
      <top style="hair">
        <color theme="9"/>
      </top>
      <bottom style="hair">
        <color indexed="64"/>
      </bottom>
      <diagonal/>
    </border>
    <border>
      <left/>
      <right style="thin">
        <color rgb="FF000000"/>
      </right>
      <top style="hair">
        <color theme="9"/>
      </top>
      <bottom style="hair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indexed="64"/>
      </top>
      <bottom style="hair">
        <color rgb="FF000000"/>
      </bottom>
      <diagonal/>
    </border>
    <border>
      <left/>
      <right/>
      <top style="hair">
        <color indexed="64"/>
      </top>
      <bottom style="hair">
        <color rgb="FF000000"/>
      </bottom>
      <diagonal/>
    </border>
    <border>
      <left/>
      <right style="thin">
        <color rgb="FF000000"/>
      </right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/>
      <top/>
      <bottom style="hair">
        <color theme="9" tint="-0.499984740745262"/>
      </bottom>
      <diagonal/>
    </border>
    <border>
      <left/>
      <right/>
      <top/>
      <bottom style="hair">
        <color theme="9" tint="-0.499984740745262"/>
      </bottom>
      <diagonal/>
    </border>
    <border>
      <left/>
      <right style="thin">
        <color indexed="64"/>
      </right>
      <top/>
      <bottom style="hair">
        <color theme="9" tint="-0.499984740745262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 style="hair">
        <color rgb="FF000000"/>
      </bottom>
      <diagonal/>
    </border>
  </borders>
  <cellStyleXfs count="1">
    <xf numFmtId="0" fontId="0" fillId="0" borderId="0"/>
  </cellStyleXfs>
  <cellXfs count="1021">
    <xf numFmtId="0" fontId="0" fillId="0" borderId="0" xfId="0"/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9" borderId="0" xfId="0" applyFill="1"/>
    <xf numFmtId="0" fontId="0" fillId="0" borderId="1" xfId="0" applyBorder="1" applyAlignment="1">
      <alignment horizontal="center"/>
    </xf>
    <xf numFmtId="0" fontId="7" fillId="9" borderId="8" xfId="0" applyFont="1" applyFill="1" applyBorder="1" applyAlignment="1">
      <alignment vertical="center"/>
    </xf>
    <xf numFmtId="0" fontId="7" fillId="9" borderId="8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2" fillId="9" borderId="0" xfId="0" applyFont="1" applyFill="1"/>
    <xf numFmtId="0" fontId="12" fillId="0" borderId="0" xfId="0" applyFont="1"/>
    <xf numFmtId="0" fontId="8" fillId="9" borderId="0" xfId="0" applyFont="1" applyFill="1" applyAlignment="1">
      <alignment horizontal="left"/>
    </xf>
    <xf numFmtId="0" fontId="8" fillId="9" borderId="0" xfId="0" applyFont="1" applyFill="1" applyAlignment="1">
      <alignment horizontal="center"/>
    </xf>
    <xf numFmtId="0" fontId="1" fillId="9" borderId="25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/>
    </xf>
    <xf numFmtId="0" fontId="5" fillId="9" borderId="16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8" fillId="9" borderId="16" xfId="0" applyFont="1" applyFill="1" applyBorder="1"/>
    <xf numFmtId="0" fontId="10" fillId="16" borderId="5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10" fillId="16" borderId="9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0" xfId="0" applyFont="1" applyFill="1"/>
    <xf numFmtId="0" fontId="14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12" fillId="9" borderId="0" xfId="0" applyFont="1" applyFill="1" applyAlignment="1">
      <alignment horizontal="left" vertical="center"/>
    </xf>
    <xf numFmtId="0" fontId="8" fillId="16" borderId="12" xfId="0" applyFont="1" applyFill="1" applyBorder="1" applyAlignment="1">
      <alignment horizontal="center"/>
    </xf>
    <xf numFmtId="0" fontId="8" fillId="16" borderId="19" xfId="0" applyFont="1" applyFill="1" applyBorder="1" applyAlignment="1">
      <alignment horizontal="center"/>
    </xf>
    <xf numFmtId="0" fontId="8" fillId="16" borderId="15" xfId="0" applyFont="1" applyFill="1" applyBorder="1" applyAlignment="1">
      <alignment horizontal="center"/>
    </xf>
    <xf numFmtId="0" fontId="8" fillId="16" borderId="27" xfId="0" applyFont="1" applyFill="1" applyBorder="1" applyAlignment="1">
      <alignment horizontal="center"/>
    </xf>
    <xf numFmtId="0" fontId="8" fillId="16" borderId="28" xfId="0" applyFont="1" applyFill="1" applyBorder="1" applyAlignment="1">
      <alignment horizontal="center"/>
    </xf>
    <xf numFmtId="0" fontId="8" fillId="16" borderId="29" xfId="0" applyFont="1" applyFill="1" applyBorder="1" applyAlignment="1">
      <alignment horizontal="center"/>
    </xf>
    <xf numFmtId="0" fontId="10" fillId="16" borderId="21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11" borderId="2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wrapText="1"/>
    </xf>
    <xf numFmtId="49" fontId="2" fillId="11" borderId="0" xfId="0" applyNumberFormat="1" applyFont="1" applyFill="1" applyAlignment="1">
      <alignment horizontal="center"/>
    </xf>
    <xf numFmtId="49" fontId="0" fillId="16" borderId="0" xfId="0" applyNumberFormat="1" applyFill="1" applyAlignment="1">
      <alignment horizontal="center"/>
    </xf>
    <xf numFmtId="0" fontId="10" fillId="16" borderId="17" xfId="0" applyFont="1" applyFill="1" applyBorder="1" applyAlignment="1">
      <alignment horizontal="center" vertical="center"/>
    </xf>
    <xf numFmtId="0" fontId="10" fillId="11" borderId="82" xfId="0" applyFont="1" applyFill="1" applyBorder="1" applyAlignment="1">
      <alignment horizontal="center" vertical="center"/>
    </xf>
    <xf numFmtId="49" fontId="0" fillId="0" borderId="0" xfId="0" applyNumberFormat="1"/>
    <xf numFmtId="0" fontId="0" fillId="0" borderId="25" xfId="0" applyBorder="1"/>
    <xf numFmtId="0" fontId="0" fillId="0" borderId="98" xfId="0" applyBorder="1"/>
    <xf numFmtId="0" fontId="2" fillId="11" borderId="89" xfId="0" applyFont="1" applyFill="1" applyBorder="1" applyAlignment="1">
      <alignment horizontal="center" vertical="center"/>
    </xf>
    <xf numFmtId="49" fontId="2" fillId="11" borderId="6" xfId="0" applyNumberFormat="1" applyFont="1" applyFill="1" applyBorder="1" applyAlignment="1">
      <alignment horizontal="center"/>
    </xf>
    <xf numFmtId="49" fontId="2" fillId="16" borderId="5" xfId="0" applyNumberFormat="1" applyFont="1" applyFill="1" applyBorder="1" applyAlignment="1">
      <alignment horizontal="center"/>
    </xf>
    <xf numFmtId="49" fontId="2" fillId="11" borderId="7" xfId="0" applyNumberFormat="1" applyFont="1" applyFill="1" applyBorder="1" applyAlignment="1">
      <alignment horizontal="center"/>
    </xf>
    <xf numFmtId="0" fontId="0" fillId="0" borderId="106" xfId="0" applyBorder="1"/>
    <xf numFmtId="0" fontId="11" fillId="10" borderId="33" xfId="0" applyFont="1" applyFill="1" applyBorder="1" applyAlignment="1">
      <alignment horizontal="center"/>
    </xf>
    <xf numFmtId="0" fontId="11" fillId="10" borderId="34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0" borderId="36" xfId="0" applyFont="1" applyFill="1" applyBorder="1" applyAlignment="1">
      <alignment horizontal="center"/>
    </xf>
    <xf numFmtId="0" fontId="11" fillId="10" borderId="38" xfId="0" applyFont="1" applyFill="1" applyBorder="1" applyAlignment="1">
      <alignment horizontal="center"/>
    </xf>
    <xf numFmtId="0" fontId="11" fillId="10" borderId="39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17" fillId="10" borderId="22" xfId="0" applyFont="1" applyFill="1" applyBorder="1" applyAlignment="1">
      <alignment horizontal="center" vertical="center"/>
    </xf>
    <xf numFmtId="0" fontId="17" fillId="10" borderId="23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28" xfId="0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0" fillId="0" borderId="0" xfId="0" applyAlignment="1">
      <alignment horizontal="left" indent="2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indent="6"/>
    </xf>
    <xf numFmtId="0" fontId="2" fillId="0" borderId="1" xfId="0" applyFont="1" applyBorder="1" applyAlignment="1">
      <alignment horizontal="left" vertical="center" indent="5"/>
    </xf>
    <xf numFmtId="0" fontId="0" fillId="9" borderId="0" xfId="0" applyFill="1" applyAlignment="1">
      <alignment horizontal="left" indent="1"/>
    </xf>
    <xf numFmtId="0" fontId="14" fillId="4" borderId="1" xfId="0" applyFont="1" applyFill="1" applyBorder="1" applyAlignment="1">
      <alignment horizontal="left" indent="1"/>
    </xf>
    <xf numFmtId="0" fontId="14" fillId="4" borderId="1" xfId="0" applyFont="1" applyFill="1" applyBorder="1" applyAlignment="1">
      <alignment horizontal="left" indent="8"/>
    </xf>
    <xf numFmtId="0" fontId="14" fillId="18" borderId="1" xfId="0" applyFont="1" applyFill="1" applyBorder="1" applyAlignment="1">
      <alignment horizontal="left" indent="1"/>
    </xf>
    <xf numFmtId="0" fontId="14" fillId="19" borderId="1" xfId="0" applyFont="1" applyFill="1" applyBorder="1" applyAlignment="1">
      <alignment horizontal="left" indent="1"/>
    </xf>
    <xf numFmtId="0" fontId="2" fillId="0" borderId="2" xfId="0" applyFont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0" fontId="2" fillId="0" borderId="1" xfId="0" applyFont="1" applyBorder="1" applyAlignment="1">
      <alignment horizontal="left" indent="6"/>
    </xf>
    <xf numFmtId="0" fontId="2" fillId="0" borderId="1" xfId="0" applyFont="1" applyBorder="1" applyAlignment="1">
      <alignment horizontal="left" indent="7"/>
    </xf>
    <xf numFmtId="0" fontId="2" fillId="0" borderId="1" xfId="0" applyFont="1" applyBorder="1" applyAlignment="1">
      <alignment horizontal="left" indent="8"/>
    </xf>
    <xf numFmtId="0" fontId="2" fillId="0" borderId="2" xfId="0" applyFont="1" applyBorder="1" applyAlignment="1">
      <alignment horizontal="left" indent="8"/>
    </xf>
    <xf numFmtId="0" fontId="2" fillId="0" borderId="2" xfId="0" applyFont="1" applyBorder="1" applyAlignment="1">
      <alignment horizontal="left" indent="9"/>
    </xf>
    <xf numFmtId="0" fontId="9" fillId="0" borderId="0" xfId="0" applyFont="1"/>
    <xf numFmtId="0" fontId="8" fillId="16" borderId="18" xfId="0" applyFont="1" applyFill="1" applyBorder="1" applyAlignment="1">
      <alignment horizontal="left" indent="2"/>
    </xf>
    <xf numFmtId="0" fontId="8" fillId="16" borderId="20" xfId="0" applyFont="1" applyFill="1" applyBorder="1" applyAlignment="1">
      <alignment horizontal="left" indent="2"/>
    </xf>
    <xf numFmtId="0" fontId="8" fillId="16" borderId="19" xfId="0" applyFont="1" applyFill="1" applyBorder="1" applyAlignment="1">
      <alignment horizontal="left" indent="2"/>
    </xf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9" borderId="26" xfId="0" applyFill="1" applyBorder="1"/>
    <xf numFmtId="0" fontId="0" fillId="9" borderId="27" xfId="0" applyFill="1" applyBorder="1"/>
    <xf numFmtId="0" fontId="0" fillId="9" borderId="28" xfId="0" applyFill="1" applyBorder="1"/>
    <xf numFmtId="0" fontId="0" fillId="9" borderId="29" xfId="0" applyFill="1" applyBorder="1"/>
    <xf numFmtId="0" fontId="2" fillId="11" borderId="6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0" fillId="0" borderId="24" xfId="0" applyBorder="1"/>
    <xf numFmtId="0" fontId="0" fillId="0" borderId="26" xfId="0" applyBorder="1"/>
    <xf numFmtId="0" fontId="0" fillId="0" borderId="29" xfId="0" applyBorder="1"/>
    <xf numFmtId="0" fontId="0" fillId="0" borderId="116" xfId="0" applyBorder="1"/>
    <xf numFmtId="0" fontId="12" fillId="9" borderId="26" xfId="0" applyFont="1" applyFill="1" applyBorder="1" applyAlignment="1">
      <alignment vertical="center"/>
    </xf>
    <xf numFmtId="0" fontId="24" fillId="13" borderId="8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2" fillId="0" borderId="0" xfId="0" applyFont="1"/>
    <xf numFmtId="0" fontId="2" fillId="9" borderId="38" xfId="0" applyFont="1" applyFill="1" applyBorder="1" applyAlignment="1">
      <alignment horizontal="center"/>
    </xf>
    <xf numFmtId="49" fontId="2" fillId="9" borderId="0" xfId="0" applyNumberFormat="1" applyFont="1" applyFill="1" applyAlignment="1">
      <alignment horizontal="center"/>
    </xf>
    <xf numFmtId="49" fontId="2" fillId="11" borderId="5" xfId="0" applyNumberFormat="1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 vertical="center"/>
    </xf>
    <xf numFmtId="0" fontId="0" fillId="0" borderId="17" xfId="0" applyBorder="1"/>
    <xf numFmtId="0" fontId="14" fillId="13" borderId="118" xfId="0" applyFont="1" applyFill="1" applyBorder="1" applyAlignment="1">
      <alignment vertical="center"/>
    </xf>
    <xf numFmtId="0" fontId="14" fillId="13" borderId="119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49" fontId="2" fillId="11" borderId="6" xfId="0" applyNumberFormat="1" applyFont="1" applyFill="1" applyBorder="1" applyAlignment="1">
      <alignment horizontal="left"/>
    </xf>
    <xf numFmtId="0" fontId="2" fillId="0" borderId="116" xfId="0" applyFont="1" applyBorder="1"/>
    <xf numFmtId="0" fontId="2" fillId="16" borderId="0" xfId="0" applyFont="1" applyFill="1"/>
    <xf numFmtId="0" fontId="2" fillId="11" borderId="0" xfId="0" applyFont="1" applyFill="1"/>
    <xf numFmtId="0" fontId="2" fillId="16" borderId="5" xfId="0" applyFont="1" applyFill="1" applyBorder="1"/>
    <xf numFmtId="0" fontId="2" fillId="16" borderId="6" xfId="0" applyFont="1" applyFill="1" applyBorder="1"/>
    <xf numFmtId="0" fontId="2" fillId="16" borderId="0" xfId="0" applyFont="1" applyFill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5" fillId="23" borderId="9" xfId="0" applyFont="1" applyFill="1" applyBorder="1" applyAlignment="1">
      <alignment horizontal="center"/>
    </xf>
    <xf numFmtId="0" fontId="10" fillId="11" borderId="17" xfId="0" applyFont="1" applyFill="1" applyBorder="1" applyAlignment="1">
      <alignment horizontal="center" vertical="center"/>
    </xf>
    <xf numFmtId="0" fontId="10" fillId="11" borderId="127" xfId="0" applyFont="1" applyFill="1" applyBorder="1" applyAlignment="1">
      <alignment horizontal="center" vertical="center"/>
    </xf>
    <xf numFmtId="0" fontId="10" fillId="11" borderId="132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2" fillId="16" borderId="21" xfId="0" applyFont="1" applyFill="1" applyBorder="1" applyAlignment="1">
      <alignment horizontal="center"/>
    </xf>
    <xf numFmtId="0" fontId="10" fillId="16" borderId="136" xfId="0" applyFont="1" applyFill="1" applyBorder="1" applyAlignment="1">
      <alignment horizontal="center" vertical="center"/>
    </xf>
    <xf numFmtId="0" fontId="10" fillId="16" borderId="137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0" fillId="11" borderId="0" xfId="0" applyFill="1"/>
    <xf numFmtId="0" fontId="2" fillId="16" borderId="5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2" fillId="11" borderId="6" xfId="0" applyFont="1" applyFill="1" applyBorder="1"/>
    <xf numFmtId="0" fontId="2" fillId="16" borderId="6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 vertical="center"/>
    </xf>
    <xf numFmtId="49" fontId="0" fillId="16" borderId="5" xfId="0" applyNumberFormat="1" applyFill="1" applyBorder="1" applyAlignment="1">
      <alignment horizontal="center"/>
    </xf>
    <xf numFmtId="0" fontId="0" fillId="11" borderId="27" xfId="0" applyFill="1" applyBorder="1"/>
    <xf numFmtId="0" fontId="0" fillId="11" borderId="40" xfId="0" applyFill="1" applyBorder="1"/>
    <xf numFmtId="0" fontId="0" fillId="11" borderId="42" xfId="0" applyFill="1" applyBorder="1"/>
    <xf numFmtId="0" fontId="8" fillId="11" borderId="18" xfId="0" applyFont="1" applyFill="1" applyBorder="1" applyAlignment="1">
      <alignment horizontal="left" indent="2"/>
    </xf>
    <xf numFmtId="0" fontId="8" fillId="11" borderId="20" xfId="0" applyFont="1" applyFill="1" applyBorder="1" applyAlignment="1">
      <alignment horizontal="left" indent="2"/>
    </xf>
    <xf numFmtId="0" fontId="8" fillId="11" borderId="19" xfId="0" applyFont="1" applyFill="1" applyBorder="1" applyAlignment="1">
      <alignment horizontal="left" indent="2"/>
    </xf>
    <xf numFmtId="0" fontId="0" fillId="16" borderId="0" xfId="0" applyFill="1" applyAlignment="1">
      <alignment horizontal="center"/>
    </xf>
    <xf numFmtId="0" fontId="0" fillId="11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2" fillId="11" borderId="21" xfId="0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 vertical="top"/>
    </xf>
    <xf numFmtId="0" fontId="2" fillId="16" borderId="150" xfId="0" applyFont="1" applyFill="1" applyBorder="1"/>
    <xf numFmtId="0" fontId="10" fillId="11" borderId="153" xfId="0" applyFont="1" applyFill="1" applyBorder="1" applyAlignment="1">
      <alignment horizontal="center" vertical="center"/>
    </xf>
    <xf numFmtId="49" fontId="2" fillId="16" borderId="0" xfId="0" applyNumberFormat="1" applyFont="1" applyFill="1" applyAlignment="1">
      <alignment horizontal="center"/>
    </xf>
    <xf numFmtId="0" fontId="2" fillId="16" borderId="154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10" fillId="16" borderId="12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left"/>
    </xf>
    <xf numFmtId="0" fontId="10" fillId="16" borderId="20" xfId="0" applyFont="1" applyFill="1" applyBorder="1" applyAlignment="1">
      <alignment horizontal="left"/>
    </xf>
    <xf numFmtId="0" fontId="10" fillId="16" borderId="19" xfId="0" applyFont="1" applyFill="1" applyBorder="1" applyAlignment="1">
      <alignment horizontal="left"/>
    </xf>
    <xf numFmtId="0" fontId="10" fillId="16" borderId="30" xfId="0" applyFont="1" applyFill="1" applyBorder="1" applyAlignment="1">
      <alignment horizontal="center"/>
    </xf>
    <xf numFmtId="0" fontId="10" fillId="16" borderId="50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30" xfId="0" applyFont="1" applyFill="1" applyBorder="1" applyAlignment="1">
      <alignment horizontal="left"/>
    </xf>
    <xf numFmtId="0" fontId="10" fillId="16" borderId="50" xfId="0" applyFont="1" applyFill="1" applyBorder="1" applyAlignment="1">
      <alignment horizontal="left"/>
    </xf>
    <xf numFmtId="0" fontId="10" fillId="16" borderId="31" xfId="0" applyFont="1" applyFill="1" applyBorder="1" applyAlignment="1">
      <alignment horizontal="left"/>
    </xf>
    <xf numFmtId="0" fontId="8" fillId="11" borderId="13" xfId="0" applyFont="1" applyFill="1" applyBorder="1" applyAlignment="1">
      <alignment horizontal="center"/>
    </xf>
    <xf numFmtId="0" fontId="8" fillId="11" borderId="14" xfId="0" applyFont="1" applyFill="1" applyBorder="1" applyAlignment="1">
      <alignment horizontal="center"/>
    </xf>
    <xf numFmtId="0" fontId="8" fillId="11" borderId="15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left" wrapText="1"/>
    </xf>
    <xf numFmtId="0" fontId="10" fillId="11" borderId="14" xfId="0" applyFont="1" applyFill="1" applyBorder="1" applyAlignment="1">
      <alignment horizontal="left"/>
    </xf>
    <xf numFmtId="0" fontId="10" fillId="11" borderId="15" xfId="0" applyFont="1" applyFill="1" applyBorder="1" applyAlignment="1">
      <alignment horizontal="left"/>
    </xf>
    <xf numFmtId="0" fontId="8" fillId="11" borderId="40" xfId="0" applyFont="1" applyFill="1" applyBorder="1" applyAlignment="1">
      <alignment horizontal="left"/>
    </xf>
    <xf numFmtId="0" fontId="8" fillId="11" borderId="41" xfId="0" applyFont="1" applyFill="1" applyBorder="1" applyAlignment="1">
      <alignment horizontal="left"/>
    </xf>
    <xf numFmtId="0" fontId="8" fillId="11" borderId="42" xfId="0" applyFont="1" applyFill="1" applyBorder="1" applyAlignment="1">
      <alignment horizontal="left"/>
    </xf>
    <xf numFmtId="0" fontId="10" fillId="11" borderId="18" xfId="0" applyFont="1" applyFill="1" applyBorder="1" applyAlignment="1">
      <alignment horizontal="left"/>
    </xf>
    <xf numFmtId="0" fontId="10" fillId="11" borderId="20" xfId="0" applyFont="1" applyFill="1" applyBorder="1" applyAlignment="1">
      <alignment horizontal="left"/>
    </xf>
    <xf numFmtId="0" fontId="10" fillId="11" borderId="19" xfId="0" applyFont="1" applyFill="1" applyBorder="1" applyAlignment="1">
      <alignment horizontal="left"/>
    </xf>
    <xf numFmtId="0" fontId="8" fillId="16" borderId="22" xfId="0" applyFont="1" applyFill="1" applyBorder="1" applyAlignment="1">
      <alignment horizontal="left"/>
    </xf>
    <xf numFmtId="0" fontId="8" fillId="16" borderId="23" xfId="0" applyFont="1" applyFill="1" applyBorder="1" applyAlignment="1">
      <alignment horizontal="left"/>
    </xf>
    <xf numFmtId="0" fontId="8" fillId="16" borderId="24" xfId="0" applyFont="1" applyFill="1" applyBorder="1" applyAlignment="1">
      <alignment horizontal="left"/>
    </xf>
    <xf numFmtId="0" fontId="8" fillId="16" borderId="11" xfId="0" applyFont="1" applyFill="1" applyBorder="1" applyAlignment="1">
      <alignment horizontal="left" wrapText="1"/>
    </xf>
    <xf numFmtId="0" fontId="8" fillId="16" borderId="11" xfId="0" applyFont="1" applyFill="1" applyBorder="1" applyAlignment="1">
      <alignment horizontal="left"/>
    </xf>
    <xf numFmtId="0" fontId="8" fillId="16" borderId="62" xfId="0" applyFont="1" applyFill="1" applyBorder="1" applyAlignment="1">
      <alignment horizontal="left"/>
    </xf>
    <xf numFmtId="0" fontId="8" fillId="16" borderId="10" xfId="0" applyFont="1" applyFill="1" applyBorder="1" applyAlignment="1">
      <alignment horizontal="left"/>
    </xf>
    <xf numFmtId="0" fontId="8" fillId="16" borderId="12" xfId="0" applyFont="1" applyFill="1" applyBorder="1" applyAlignment="1">
      <alignment horizontal="left"/>
    </xf>
    <xf numFmtId="0" fontId="8" fillId="16" borderId="48" xfId="0" applyFont="1" applyFill="1" applyBorder="1" applyAlignment="1">
      <alignment horizontal="center"/>
    </xf>
    <xf numFmtId="0" fontId="8" fillId="16" borderId="45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left"/>
    </xf>
    <xf numFmtId="0" fontId="10" fillId="11" borderId="11" xfId="0" applyFont="1" applyFill="1" applyBorder="1" applyAlignment="1">
      <alignment horizontal="left"/>
    </xf>
    <xf numFmtId="0" fontId="10" fillId="11" borderId="12" xfId="0" applyFont="1" applyFill="1" applyBorder="1" applyAlignment="1">
      <alignment horizontal="left"/>
    </xf>
    <xf numFmtId="0" fontId="8" fillId="16" borderId="10" xfId="0" applyFont="1" applyFill="1" applyBorder="1" applyAlignment="1">
      <alignment horizontal="center"/>
    </xf>
    <xf numFmtId="0" fontId="8" fillId="16" borderId="11" xfId="0" applyFont="1" applyFill="1" applyBorder="1" applyAlignment="1">
      <alignment horizontal="center"/>
    </xf>
    <xf numFmtId="0" fontId="8" fillId="16" borderId="12" xfId="0" applyFont="1" applyFill="1" applyBorder="1" applyAlignment="1">
      <alignment horizontal="center"/>
    </xf>
    <xf numFmtId="0" fontId="8" fillId="16" borderId="40" xfId="0" applyFont="1" applyFill="1" applyBorder="1" applyAlignment="1">
      <alignment horizontal="left" vertical="center"/>
    </xf>
    <xf numFmtId="0" fontId="8" fillId="16" borderId="41" xfId="0" applyFont="1" applyFill="1" applyBorder="1" applyAlignment="1">
      <alignment horizontal="left" vertical="center"/>
    </xf>
    <xf numFmtId="0" fontId="8" fillId="16" borderId="42" xfId="0" applyFont="1" applyFill="1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8" fillId="11" borderId="47" xfId="0" applyFont="1" applyFill="1" applyBorder="1" applyAlignment="1">
      <alignment horizontal="center"/>
    </xf>
    <xf numFmtId="0" fontId="8" fillId="11" borderId="44" xfId="0" applyFont="1" applyFill="1" applyBorder="1" applyAlignment="1">
      <alignment horizontal="center"/>
    </xf>
    <xf numFmtId="0" fontId="8" fillId="16" borderId="18" xfId="0" applyFont="1" applyFill="1" applyBorder="1" applyAlignment="1">
      <alignment horizontal="center"/>
    </xf>
    <xf numFmtId="0" fontId="8" fillId="16" borderId="20" xfId="0" applyFont="1" applyFill="1" applyBorder="1" applyAlignment="1">
      <alignment horizontal="center"/>
    </xf>
    <xf numFmtId="0" fontId="8" fillId="16" borderId="19" xfId="0" applyFont="1" applyFill="1" applyBorder="1" applyAlignment="1">
      <alignment horizontal="center"/>
    </xf>
    <xf numFmtId="0" fontId="8" fillId="16" borderId="56" xfId="0" applyFont="1" applyFill="1" applyBorder="1" applyAlignment="1">
      <alignment horizontal="center"/>
    </xf>
    <xf numFmtId="0" fontId="8" fillId="16" borderId="51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left" vertical="center"/>
    </xf>
    <xf numFmtId="0" fontId="10" fillId="16" borderId="0" xfId="0" applyFont="1" applyFill="1" applyAlignment="1">
      <alignment horizontal="left" vertical="center"/>
    </xf>
    <xf numFmtId="0" fontId="10" fillId="16" borderId="26" xfId="0" applyFont="1" applyFill="1" applyBorder="1" applyAlignment="1">
      <alignment horizontal="left" vertical="center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8" fillId="11" borderId="49" xfId="0" applyFont="1" applyFill="1" applyBorder="1" applyAlignment="1">
      <alignment horizontal="center"/>
    </xf>
    <xf numFmtId="0" fontId="8" fillId="11" borderId="46" xfId="0" applyFont="1" applyFill="1" applyBorder="1" applyAlignment="1">
      <alignment horizontal="center"/>
    </xf>
    <xf numFmtId="0" fontId="8" fillId="16" borderId="65" xfId="0" applyFont="1" applyFill="1" applyBorder="1" applyAlignment="1">
      <alignment horizontal="center"/>
    </xf>
    <xf numFmtId="0" fontId="8" fillId="16" borderId="13" xfId="0" applyFont="1" applyFill="1" applyBorder="1" applyAlignment="1">
      <alignment horizontal="center"/>
    </xf>
    <xf numFmtId="0" fontId="8" fillId="16" borderId="14" xfId="0" applyFont="1" applyFill="1" applyBorder="1" applyAlignment="1">
      <alignment horizontal="center"/>
    </xf>
    <xf numFmtId="0" fontId="8" fillId="16" borderId="15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14" xfId="0" applyFont="1" applyFill="1" applyBorder="1" applyAlignment="1">
      <alignment horizontal="center"/>
    </xf>
    <xf numFmtId="0" fontId="10" fillId="11" borderId="15" xfId="0" applyFont="1" applyFill="1" applyBorder="1" applyAlignment="1">
      <alignment horizontal="center"/>
    </xf>
    <xf numFmtId="0" fontId="10" fillId="16" borderId="10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 vertical="center"/>
    </xf>
    <xf numFmtId="0" fontId="10" fillId="16" borderId="14" xfId="0" applyFont="1" applyFill="1" applyBorder="1" applyAlignment="1">
      <alignment horizontal="center" vertical="center"/>
    </xf>
    <xf numFmtId="0" fontId="10" fillId="16" borderId="15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0" fontId="8" fillId="11" borderId="48" xfId="0" applyFont="1" applyFill="1" applyBorder="1" applyAlignment="1">
      <alignment horizontal="center"/>
    </xf>
    <xf numFmtId="0" fontId="8" fillId="11" borderId="45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8" fillId="11" borderId="56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7" xfId="0" applyFont="1" applyFill="1" applyBorder="1" applyAlignment="1">
      <alignment horizontal="center"/>
    </xf>
    <xf numFmtId="0" fontId="8" fillId="11" borderId="58" xfId="0" applyFont="1" applyFill="1" applyBorder="1" applyAlignment="1">
      <alignment horizontal="center"/>
    </xf>
    <xf numFmtId="0" fontId="8" fillId="11" borderId="40" xfId="0" applyFont="1" applyFill="1" applyBorder="1" applyAlignment="1">
      <alignment horizontal="center"/>
    </xf>
    <xf numFmtId="0" fontId="8" fillId="11" borderId="41" xfId="0" applyFont="1" applyFill="1" applyBorder="1" applyAlignment="1">
      <alignment horizontal="center"/>
    </xf>
    <xf numFmtId="0" fontId="8" fillId="11" borderId="42" xfId="0" applyFont="1" applyFill="1" applyBorder="1" applyAlignment="1">
      <alignment horizontal="center"/>
    </xf>
    <xf numFmtId="0" fontId="10" fillId="16" borderId="65" xfId="0" applyFont="1" applyFill="1" applyBorder="1" applyAlignment="1">
      <alignment horizontal="center"/>
    </xf>
    <xf numFmtId="0" fontId="10" fillId="16" borderId="45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center"/>
    </xf>
    <xf numFmtId="0" fontId="8" fillId="11" borderId="20" xfId="0" applyFont="1" applyFill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0" fontId="8" fillId="16" borderId="54" xfId="0" applyFont="1" applyFill="1" applyBorder="1" applyAlignment="1">
      <alignment horizontal="center"/>
    </xf>
    <xf numFmtId="0" fontId="8" fillId="16" borderId="55" xfId="0" applyFont="1" applyFill="1" applyBorder="1" applyAlignment="1">
      <alignment horizontal="center"/>
    </xf>
    <xf numFmtId="0" fontId="8" fillId="16" borderId="62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left"/>
    </xf>
    <xf numFmtId="0" fontId="8" fillId="11" borderId="11" xfId="0" applyFont="1" applyFill="1" applyBorder="1" applyAlignment="1">
      <alignment horizontal="left"/>
    </xf>
    <xf numFmtId="0" fontId="8" fillId="11" borderId="12" xfId="0" applyFont="1" applyFill="1" applyBorder="1" applyAlignment="1">
      <alignment horizontal="left"/>
    </xf>
    <xf numFmtId="0" fontId="8" fillId="16" borderId="27" xfId="0" applyFont="1" applyFill="1" applyBorder="1" applyAlignment="1">
      <alignment horizontal="center"/>
    </xf>
    <xf numFmtId="0" fontId="8" fillId="16" borderId="28" xfId="0" applyFont="1" applyFill="1" applyBorder="1" applyAlignment="1">
      <alignment horizontal="center"/>
    </xf>
    <xf numFmtId="0" fontId="8" fillId="16" borderId="29" xfId="0" applyFont="1" applyFill="1" applyBorder="1" applyAlignment="1">
      <alignment horizontal="center"/>
    </xf>
    <xf numFmtId="0" fontId="10" fillId="11" borderId="20" xfId="0" applyFont="1" applyFill="1" applyBorder="1" applyAlignment="1">
      <alignment horizontal="center"/>
    </xf>
    <xf numFmtId="0" fontId="10" fillId="11" borderId="19" xfId="0" applyFont="1" applyFill="1" applyBorder="1" applyAlignment="1">
      <alignment horizontal="center"/>
    </xf>
    <xf numFmtId="0" fontId="13" fillId="11" borderId="68" xfId="0" applyFont="1" applyFill="1" applyBorder="1" applyAlignment="1">
      <alignment horizontal="center"/>
    </xf>
    <xf numFmtId="0" fontId="13" fillId="11" borderId="51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left"/>
    </xf>
    <xf numFmtId="0" fontId="8" fillId="11" borderId="20" xfId="0" applyFont="1" applyFill="1" applyBorder="1" applyAlignment="1">
      <alignment horizontal="left"/>
    </xf>
    <xf numFmtId="0" fontId="8" fillId="11" borderId="19" xfId="0" applyFont="1" applyFill="1" applyBorder="1" applyAlignment="1">
      <alignment horizontal="left"/>
    </xf>
    <xf numFmtId="0" fontId="8" fillId="11" borderId="27" xfId="0" applyFont="1" applyFill="1" applyBorder="1" applyAlignment="1">
      <alignment horizontal="center"/>
    </xf>
    <xf numFmtId="0" fontId="8" fillId="11" borderId="28" xfId="0" applyFont="1" applyFill="1" applyBorder="1" applyAlignment="1">
      <alignment horizontal="center"/>
    </xf>
    <xf numFmtId="0" fontId="8" fillId="11" borderId="29" xfId="0" applyFont="1" applyFill="1" applyBorder="1" applyAlignment="1">
      <alignment horizontal="center"/>
    </xf>
    <xf numFmtId="0" fontId="11" fillId="10" borderId="32" xfId="0" applyFont="1" applyFill="1" applyBorder="1" applyAlignment="1">
      <alignment horizontal="center"/>
    </xf>
    <xf numFmtId="0" fontId="11" fillId="10" borderId="33" xfId="0" applyFont="1" applyFill="1" applyBorder="1" applyAlignment="1">
      <alignment horizontal="center"/>
    </xf>
    <xf numFmtId="0" fontId="11" fillId="10" borderId="34" xfId="0" applyFont="1" applyFill="1" applyBorder="1" applyAlignment="1">
      <alignment horizontal="center"/>
    </xf>
    <xf numFmtId="0" fontId="11" fillId="10" borderId="35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0" borderId="36" xfId="0" applyFont="1" applyFill="1" applyBorder="1" applyAlignment="1">
      <alignment horizontal="center"/>
    </xf>
    <xf numFmtId="0" fontId="11" fillId="10" borderId="37" xfId="0" applyFont="1" applyFill="1" applyBorder="1" applyAlignment="1">
      <alignment horizontal="center"/>
    </xf>
    <xf numFmtId="0" fontId="11" fillId="10" borderId="38" xfId="0" applyFont="1" applyFill="1" applyBorder="1" applyAlignment="1">
      <alignment horizontal="center"/>
    </xf>
    <xf numFmtId="0" fontId="11" fillId="10" borderId="39" xfId="0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0" fontId="10" fillId="27" borderId="56" xfId="0" applyFont="1" applyFill="1" applyBorder="1" applyAlignment="1">
      <alignment horizontal="center" vertical="center"/>
    </xf>
    <xf numFmtId="0" fontId="10" fillId="27" borderId="51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19" fillId="11" borderId="27" xfId="0" applyFont="1" applyFill="1" applyBorder="1" applyAlignment="1">
      <alignment horizontal="center" vertical="center"/>
    </xf>
    <xf numFmtId="0" fontId="8" fillId="16" borderId="64" xfId="0" applyFont="1" applyFill="1" applyBorder="1" applyAlignment="1">
      <alignment horizontal="center"/>
    </xf>
    <xf numFmtId="0" fontId="8" fillId="16" borderId="44" xfId="0" applyFont="1" applyFill="1" applyBorder="1" applyAlignment="1">
      <alignment horizontal="center"/>
    </xf>
    <xf numFmtId="0" fontId="8" fillId="16" borderId="47" xfId="0" applyFont="1" applyFill="1" applyBorder="1" applyAlignment="1">
      <alignment horizontal="center"/>
    </xf>
    <xf numFmtId="0" fontId="9" fillId="16" borderId="47" xfId="0" applyFont="1" applyFill="1" applyBorder="1" applyAlignment="1">
      <alignment horizontal="center"/>
    </xf>
    <xf numFmtId="0" fontId="9" fillId="16" borderId="44" xfId="0" applyFont="1" applyFill="1" applyBorder="1" applyAlignment="1">
      <alignment horizontal="center"/>
    </xf>
    <xf numFmtId="0" fontId="9" fillId="11" borderId="48" xfId="0" applyFont="1" applyFill="1" applyBorder="1" applyAlignment="1">
      <alignment horizontal="center"/>
    </xf>
    <xf numFmtId="0" fontId="9" fillId="11" borderId="45" xfId="0" applyFont="1" applyFill="1" applyBorder="1" applyAlignment="1">
      <alignment horizontal="center"/>
    </xf>
    <xf numFmtId="0" fontId="8" fillId="16" borderId="49" xfId="0" applyFont="1" applyFill="1" applyBorder="1" applyAlignment="1">
      <alignment horizontal="center"/>
    </xf>
    <xf numFmtId="0" fontId="8" fillId="16" borderId="46" xfId="0" applyFont="1" applyFill="1" applyBorder="1" applyAlignment="1">
      <alignment horizontal="center"/>
    </xf>
    <xf numFmtId="0" fontId="8" fillId="16" borderId="22" xfId="0" applyFont="1" applyFill="1" applyBorder="1" applyAlignment="1">
      <alignment horizontal="center"/>
    </xf>
    <xf numFmtId="0" fontId="8" fillId="16" borderId="23" xfId="0" applyFont="1" applyFill="1" applyBorder="1" applyAlignment="1">
      <alignment horizontal="center"/>
    </xf>
    <xf numFmtId="0" fontId="8" fillId="16" borderId="70" xfId="0" applyFont="1" applyFill="1" applyBorder="1" applyAlignment="1">
      <alignment horizontal="center"/>
    </xf>
    <xf numFmtId="0" fontId="8" fillId="16" borderId="18" xfId="0" applyFont="1" applyFill="1" applyBorder="1" applyAlignment="1">
      <alignment horizontal="left"/>
    </xf>
    <xf numFmtId="0" fontId="8" fillId="16" borderId="20" xfId="0" applyFont="1" applyFill="1" applyBorder="1" applyAlignment="1">
      <alignment horizontal="left"/>
    </xf>
    <xf numFmtId="0" fontId="8" fillId="16" borderId="19" xfId="0" applyFont="1" applyFill="1" applyBorder="1" applyAlignment="1">
      <alignment horizontal="left"/>
    </xf>
    <xf numFmtId="0" fontId="19" fillId="16" borderId="22" xfId="0" applyFont="1" applyFill="1" applyBorder="1" applyAlignment="1">
      <alignment horizontal="center" vertical="center"/>
    </xf>
    <xf numFmtId="0" fontId="19" fillId="16" borderId="25" xfId="0" applyFont="1" applyFill="1" applyBorder="1" applyAlignment="1">
      <alignment horizontal="center" vertical="center"/>
    </xf>
    <xf numFmtId="0" fontId="19" fillId="16" borderId="2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/>
    </xf>
    <xf numFmtId="0" fontId="8" fillId="5" borderId="45" xfId="0" applyFont="1" applyFill="1" applyBorder="1" applyAlignment="1">
      <alignment horizontal="center"/>
    </xf>
    <xf numFmtId="0" fontId="10" fillId="11" borderId="10" xfId="0" applyFont="1" applyFill="1" applyBorder="1" applyAlignment="1">
      <alignment vertical="center"/>
    </xf>
    <xf numFmtId="0" fontId="10" fillId="11" borderId="11" xfId="0" applyFont="1" applyFill="1" applyBorder="1" applyAlignment="1">
      <alignment vertical="center"/>
    </xf>
    <xf numFmtId="0" fontId="10" fillId="11" borderId="12" xfId="0" applyFont="1" applyFill="1" applyBorder="1" applyAlignment="1">
      <alignment vertical="center"/>
    </xf>
    <xf numFmtId="0" fontId="8" fillId="5" borderId="47" xfId="0" applyFont="1" applyFill="1" applyBorder="1" applyAlignment="1">
      <alignment horizontal="center"/>
    </xf>
    <xf numFmtId="0" fontId="8" fillId="5" borderId="44" xfId="0" applyFont="1" applyFill="1" applyBorder="1" applyAlignment="1">
      <alignment horizontal="center"/>
    </xf>
    <xf numFmtId="0" fontId="10" fillId="11" borderId="40" xfId="0" applyFont="1" applyFill="1" applyBorder="1" applyAlignment="1">
      <alignment horizontal="left"/>
    </xf>
    <xf numFmtId="0" fontId="10" fillId="11" borderId="41" xfId="0" applyFont="1" applyFill="1" applyBorder="1" applyAlignment="1">
      <alignment horizontal="left"/>
    </xf>
    <xf numFmtId="0" fontId="10" fillId="11" borderId="42" xfId="0" applyFont="1" applyFill="1" applyBorder="1" applyAlignment="1">
      <alignment horizontal="left"/>
    </xf>
    <xf numFmtId="0" fontId="10" fillId="11" borderId="40" xfId="0" applyFont="1" applyFill="1" applyBorder="1" applyAlignment="1">
      <alignment horizontal="center"/>
    </xf>
    <xf numFmtId="0" fontId="10" fillId="11" borderId="41" xfId="0" applyFont="1" applyFill="1" applyBorder="1" applyAlignment="1">
      <alignment horizontal="center"/>
    </xf>
    <xf numFmtId="0" fontId="10" fillId="11" borderId="42" xfId="0" applyFont="1" applyFill="1" applyBorder="1" applyAlignment="1">
      <alignment horizontal="center"/>
    </xf>
    <xf numFmtId="0" fontId="8" fillId="16" borderId="41" xfId="0" applyFont="1" applyFill="1" applyBorder="1" applyAlignment="1">
      <alignment horizontal="center"/>
    </xf>
    <xf numFmtId="0" fontId="8" fillId="16" borderId="67" xfId="0" applyFont="1" applyFill="1" applyBorder="1" applyAlignment="1">
      <alignment horizontal="center"/>
    </xf>
    <xf numFmtId="0" fontId="8" fillId="16" borderId="40" xfId="0" applyFont="1" applyFill="1" applyBorder="1" applyAlignment="1">
      <alignment horizontal="left"/>
    </xf>
    <xf numFmtId="0" fontId="8" fillId="16" borderId="41" xfId="0" applyFont="1" applyFill="1" applyBorder="1" applyAlignment="1">
      <alignment horizontal="left"/>
    </xf>
    <xf numFmtId="0" fontId="8" fillId="16" borderId="42" xfId="0" applyFont="1" applyFill="1" applyBorder="1" applyAlignment="1">
      <alignment horizontal="left"/>
    </xf>
    <xf numFmtId="0" fontId="8" fillId="16" borderId="27" xfId="0" applyFont="1" applyFill="1" applyBorder="1" applyAlignment="1">
      <alignment horizontal="left"/>
    </xf>
    <xf numFmtId="0" fontId="8" fillId="16" borderId="28" xfId="0" applyFont="1" applyFill="1" applyBorder="1" applyAlignment="1">
      <alignment horizontal="left"/>
    </xf>
    <xf numFmtId="0" fontId="8" fillId="16" borderId="29" xfId="0" applyFont="1" applyFill="1" applyBorder="1" applyAlignment="1">
      <alignment horizontal="left"/>
    </xf>
    <xf numFmtId="0" fontId="9" fillId="11" borderId="56" xfId="0" applyFont="1" applyFill="1" applyBorder="1" applyAlignment="1">
      <alignment horizontal="center"/>
    </xf>
    <xf numFmtId="0" fontId="9" fillId="11" borderId="51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0" fontId="8" fillId="16" borderId="74" xfId="0" applyFont="1" applyFill="1" applyBorder="1" applyAlignment="1">
      <alignment horizontal="center"/>
    </xf>
    <xf numFmtId="0" fontId="28" fillId="11" borderId="18" xfId="0" applyFont="1" applyFill="1" applyBorder="1" applyAlignment="1">
      <alignment horizontal="left"/>
    </xf>
    <xf numFmtId="0" fontId="10" fillId="11" borderId="65" xfId="0" applyFont="1" applyFill="1" applyBorder="1" applyAlignment="1">
      <alignment horizontal="center"/>
    </xf>
    <xf numFmtId="0" fontId="10" fillId="11" borderId="45" xfId="0" applyFont="1" applyFill="1" applyBorder="1" applyAlignment="1">
      <alignment horizontal="center"/>
    </xf>
    <xf numFmtId="0" fontId="9" fillId="11" borderId="47" xfId="0" applyFont="1" applyFill="1" applyBorder="1" applyAlignment="1">
      <alignment horizontal="center"/>
    </xf>
    <xf numFmtId="0" fontId="9" fillId="11" borderId="44" xfId="0" applyFont="1" applyFill="1" applyBorder="1" applyAlignment="1">
      <alignment horizontal="center"/>
    </xf>
    <xf numFmtId="0" fontId="8" fillId="11" borderId="74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left" vertical="center"/>
    </xf>
    <xf numFmtId="0" fontId="8" fillId="11" borderId="20" xfId="0" applyFont="1" applyFill="1" applyBorder="1" applyAlignment="1">
      <alignment horizontal="left" vertical="center"/>
    </xf>
    <xf numFmtId="0" fontId="8" fillId="11" borderId="19" xfId="0" applyFont="1" applyFill="1" applyBorder="1" applyAlignment="1">
      <alignment horizontal="left" vertical="center"/>
    </xf>
    <xf numFmtId="0" fontId="8" fillId="21" borderId="47" xfId="0" applyFont="1" applyFill="1" applyBorder="1" applyAlignment="1">
      <alignment horizontal="center"/>
    </xf>
    <xf numFmtId="0" fontId="8" fillId="21" borderId="44" xfId="0" applyFont="1" applyFill="1" applyBorder="1" applyAlignment="1">
      <alignment horizontal="center"/>
    </xf>
    <xf numFmtId="0" fontId="8" fillId="16" borderId="40" xfId="0" applyFont="1" applyFill="1" applyBorder="1" applyAlignment="1">
      <alignment horizontal="center"/>
    </xf>
    <xf numFmtId="0" fontId="8" fillId="16" borderId="42" xfId="0" applyFont="1" applyFill="1" applyBorder="1" applyAlignment="1">
      <alignment horizontal="center"/>
    </xf>
    <xf numFmtId="0" fontId="8" fillId="21" borderId="48" xfId="0" applyFont="1" applyFill="1" applyBorder="1" applyAlignment="1">
      <alignment horizontal="center"/>
    </xf>
    <xf numFmtId="0" fontId="8" fillId="21" borderId="45" xfId="0" applyFont="1" applyFill="1" applyBorder="1" applyAlignment="1">
      <alignment horizontal="center"/>
    </xf>
    <xf numFmtId="0" fontId="10" fillId="11" borderId="10" xfId="0" applyFont="1" applyFill="1" applyBorder="1"/>
    <xf numFmtId="0" fontId="10" fillId="11" borderId="11" xfId="0" applyFont="1" applyFill="1" applyBorder="1"/>
    <xf numFmtId="0" fontId="10" fillId="11" borderId="12" xfId="0" applyFont="1" applyFill="1" applyBorder="1"/>
    <xf numFmtId="0" fontId="8" fillId="16" borderId="52" xfId="0" applyFont="1" applyFill="1" applyBorder="1" applyAlignment="1">
      <alignment horizontal="center"/>
    </xf>
    <xf numFmtId="0" fontId="8" fillId="16" borderId="53" xfId="0" applyFont="1" applyFill="1" applyBorder="1" applyAlignment="1">
      <alignment horizontal="center"/>
    </xf>
    <xf numFmtId="0" fontId="8" fillId="16" borderId="113" xfId="0" applyFont="1" applyFill="1" applyBorder="1" applyAlignment="1">
      <alignment horizontal="center"/>
    </xf>
    <xf numFmtId="0" fontId="8" fillId="16" borderId="114" xfId="0" applyFont="1" applyFill="1" applyBorder="1" applyAlignment="1">
      <alignment horizontal="center"/>
    </xf>
    <xf numFmtId="0" fontId="8" fillId="16" borderId="115" xfId="0" applyFont="1" applyFill="1" applyBorder="1" applyAlignment="1">
      <alignment horizontal="center"/>
    </xf>
    <xf numFmtId="0" fontId="8" fillId="11" borderId="111" xfId="0" applyFont="1" applyFill="1" applyBorder="1" applyAlignment="1">
      <alignment horizontal="center"/>
    </xf>
    <xf numFmtId="0" fontId="8" fillId="11" borderId="112" xfId="0" applyFont="1" applyFill="1" applyBorder="1" applyAlignment="1">
      <alignment horizontal="center"/>
    </xf>
    <xf numFmtId="0" fontId="8" fillId="16" borderId="40" xfId="0" applyFont="1" applyFill="1" applyBorder="1" applyAlignment="1">
      <alignment horizontal="center" vertical="center"/>
    </xf>
    <xf numFmtId="0" fontId="8" fillId="16" borderId="41" xfId="0" applyFont="1" applyFill="1" applyBorder="1" applyAlignment="1">
      <alignment horizontal="center" vertical="center"/>
    </xf>
    <xf numFmtId="0" fontId="8" fillId="16" borderId="42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center"/>
    </xf>
    <xf numFmtId="0" fontId="10" fillId="16" borderId="41" xfId="0" applyFont="1" applyFill="1" applyBorder="1" applyAlignment="1">
      <alignment horizontal="center"/>
    </xf>
    <xf numFmtId="0" fontId="10" fillId="16" borderId="42" xfId="0" applyFont="1" applyFill="1" applyBorder="1" applyAlignment="1">
      <alignment horizontal="center"/>
    </xf>
    <xf numFmtId="0" fontId="10" fillId="16" borderId="10" xfId="0" applyFont="1" applyFill="1" applyBorder="1" applyAlignment="1">
      <alignment horizontal="center"/>
    </xf>
    <xf numFmtId="0" fontId="10" fillId="16" borderId="11" xfId="0" applyFont="1" applyFill="1" applyBorder="1" applyAlignment="1">
      <alignment horizontal="center"/>
    </xf>
    <xf numFmtId="0" fontId="10" fillId="16" borderId="12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center"/>
    </xf>
    <xf numFmtId="0" fontId="10" fillId="16" borderId="20" xfId="0" applyFont="1" applyFill="1" applyBorder="1" applyAlignment="1">
      <alignment horizontal="center"/>
    </xf>
    <xf numFmtId="0" fontId="10" fillId="16" borderId="19" xfId="0" applyFont="1" applyFill="1" applyBorder="1" applyAlignment="1">
      <alignment horizontal="center"/>
    </xf>
    <xf numFmtId="0" fontId="10" fillId="16" borderId="10" xfId="0" applyFont="1" applyFill="1" applyBorder="1" applyAlignment="1">
      <alignment horizontal="left"/>
    </xf>
    <xf numFmtId="0" fontId="10" fillId="16" borderId="11" xfId="0" applyFont="1" applyFill="1" applyBorder="1" applyAlignment="1">
      <alignment horizontal="left"/>
    </xf>
    <xf numFmtId="0" fontId="10" fillId="16" borderId="12" xfId="0" applyFont="1" applyFill="1" applyBorder="1" applyAlignment="1">
      <alignment horizontal="left"/>
    </xf>
    <xf numFmtId="0" fontId="10" fillId="16" borderId="10" xfId="0" applyFont="1" applyFill="1" applyBorder="1" applyAlignment="1">
      <alignment horizontal="left" vertical="center"/>
    </xf>
    <xf numFmtId="0" fontId="10" fillId="16" borderId="11" xfId="0" applyFont="1" applyFill="1" applyBorder="1" applyAlignment="1">
      <alignment horizontal="left" vertical="center"/>
    </xf>
    <xf numFmtId="0" fontId="10" fillId="16" borderId="12" xfId="0" applyFont="1" applyFill="1" applyBorder="1" applyAlignment="1">
      <alignment horizontal="left" vertical="center"/>
    </xf>
    <xf numFmtId="0" fontId="10" fillId="16" borderId="13" xfId="0" applyFont="1" applyFill="1" applyBorder="1" applyAlignment="1">
      <alignment horizontal="left"/>
    </xf>
    <xf numFmtId="0" fontId="10" fillId="16" borderId="14" xfId="0" applyFont="1" applyFill="1" applyBorder="1" applyAlignment="1">
      <alignment horizontal="left"/>
    </xf>
    <xf numFmtId="0" fontId="10" fillId="16" borderId="15" xfId="0" applyFont="1" applyFill="1" applyBorder="1" applyAlignment="1">
      <alignment horizontal="left"/>
    </xf>
    <xf numFmtId="0" fontId="10" fillId="16" borderId="40" xfId="0" applyFont="1" applyFill="1" applyBorder="1" applyAlignment="1">
      <alignment horizontal="left"/>
    </xf>
    <xf numFmtId="0" fontId="10" fillId="16" borderId="41" xfId="0" applyFont="1" applyFill="1" applyBorder="1" applyAlignment="1">
      <alignment horizontal="left"/>
    </xf>
    <xf numFmtId="0" fontId="10" fillId="16" borderId="42" xfId="0" applyFont="1" applyFill="1" applyBorder="1" applyAlignment="1">
      <alignment horizontal="left"/>
    </xf>
    <xf numFmtId="0" fontId="10" fillId="16" borderId="18" xfId="0" applyFont="1" applyFill="1" applyBorder="1" applyAlignment="1">
      <alignment horizontal="left"/>
    </xf>
    <xf numFmtId="0" fontId="10" fillId="16" borderId="20" xfId="0" applyFont="1" applyFill="1" applyBorder="1" applyAlignment="1">
      <alignment horizontal="left"/>
    </xf>
    <xf numFmtId="0" fontId="10" fillId="16" borderId="19" xfId="0" applyFont="1" applyFill="1" applyBorder="1" applyAlignment="1">
      <alignment horizontal="left"/>
    </xf>
    <xf numFmtId="0" fontId="10" fillId="11" borderId="10" xfId="0" applyFont="1" applyFill="1" applyBorder="1" applyAlignment="1">
      <alignment horizontal="left" vertical="center"/>
    </xf>
    <xf numFmtId="0" fontId="10" fillId="11" borderId="11" xfId="0" applyFont="1" applyFill="1" applyBorder="1" applyAlignment="1">
      <alignment horizontal="left" vertical="center"/>
    </xf>
    <xf numFmtId="0" fontId="10" fillId="11" borderId="12" xfId="0" applyFont="1" applyFill="1" applyBorder="1" applyAlignment="1">
      <alignment horizontal="left" vertical="center"/>
    </xf>
    <xf numFmtId="0" fontId="8" fillId="11" borderId="64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left"/>
    </xf>
    <xf numFmtId="0" fontId="8" fillId="11" borderId="14" xfId="0" applyFont="1" applyFill="1" applyBorder="1" applyAlignment="1">
      <alignment horizontal="left"/>
    </xf>
    <xf numFmtId="0" fontId="8" fillId="11" borderId="15" xfId="0" applyFont="1" applyFill="1" applyBorder="1" applyAlignment="1">
      <alignment horizontal="left"/>
    </xf>
    <xf numFmtId="0" fontId="10" fillId="11" borderId="18" xfId="0" applyFont="1" applyFill="1" applyBorder="1" applyAlignment="1">
      <alignment vertical="center"/>
    </xf>
    <xf numFmtId="0" fontId="10" fillId="11" borderId="20" xfId="0" applyFont="1" applyFill="1" applyBorder="1" applyAlignment="1">
      <alignment vertical="center"/>
    </xf>
    <xf numFmtId="0" fontId="10" fillId="11" borderId="19" xfId="0" applyFont="1" applyFill="1" applyBorder="1" applyAlignment="1">
      <alignment vertical="center"/>
    </xf>
    <xf numFmtId="0" fontId="8" fillId="0" borderId="47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8" fillId="11" borderId="67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22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8" fillId="16" borderId="13" xfId="0" applyFont="1" applyFill="1" applyBorder="1" applyAlignment="1">
      <alignment horizontal="left"/>
    </xf>
    <xf numFmtId="0" fontId="8" fillId="16" borderId="14" xfId="0" applyFont="1" applyFill="1" applyBorder="1" applyAlignment="1">
      <alignment horizontal="left"/>
    </xf>
    <xf numFmtId="0" fontId="8" fillId="16" borderId="15" xfId="0" applyFont="1" applyFill="1" applyBorder="1" applyAlignment="1">
      <alignment horizontal="left"/>
    </xf>
    <xf numFmtId="0" fontId="8" fillId="16" borderId="18" xfId="0" applyFont="1" applyFill="1" applyBorder="1" applyAlignment="1">
      <alignment horizontal="left" wrapText="1"/>
    </xf>
    <xf numFmtId="0" fontId="8" fillId="16" borderId="20" xfId="0" applyFont="1" applyFill="1" applyBorder="1" applyAlignment="1">
      <alignment horizontal="left" wrapText="1"/>
    </xf>
    <xf numFmtId="0" fontId="8" fillId="16" borderId="19" xfId="0" applyFont="1" applyFill="1" applyBorder="1" applyAlignment="1">
      <alignment horizontal="left" wrapText="1"/>
    </xf>
    <xf numFmtId="0" fontId="19" fillId="16" borderId="8" xfId="0" applyFont="1" applyFill="1" applyBorder="1" applyAlignment="1">
      <alignment horizontal="center" vertical="center"/>
    </xf>
    <xf numFmtId="0" fontId="19" fillId="16" borderId="17" xfId="0" applyFont="1" applyFill="1" applyBorder="1" applyAlignment="1">
      <alignment horizontal="center" vertical="center"/>
    </xf>
    <xf numFmtId="0" fontId="19" fillId="16" borderId="21" xfId="0" applyFont="1" applyFill="1" applyBorder="1" applyAlignment="1">
      <alignment horizontal="center" vertical="center"/>
    </xf>
    <xf numFmtId="0" fontId="8" fillId="10" borderId="48" xfId="0" applyFont="1" applyFill="1" applyBorder="1" applyAlignment="1">
      <alignment horizontal="center"/>
    </xf>
    <xf numFmtId="0" fontId="8" fillId="10" borderId="45" xfId="0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8" fillId="11" borderId="30" xfId="0" applyFont="1" applyFill="1" applyBorder="1" applyAlignment="1">
      <alignment horizontal="center"/>
    </xf>
    <xf numFmtId="0" fontId="8" fillId="11" borderId="31" xfId="0" applyFont="1" applyFill="1" applyBorder="1" applyAlignment="1">
      <alignment horizontal="center"/>
    </xf>
    <xf numFmtId="0" fontId="8" fillId="16" borderId="66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left"/>
    </xf>
    <xf numFmtId="0" fontId="8" fillId="16" borderId="24" xfId="0" applyFont="1" applyFill="1" applyBorder="1" applyAlignment="1">
      <alignment horizontal="center"/>
    </xf>
    <xf numFmtId="0" fontId="8" fillId="16" borderId="25" xfId="0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0" fontId="8" fillId="16" borderId="26" xfId="0" applyFont="1" applyFill="1" applyBorder="1" applyAlignment="1">
      <alignment horizontal="center"/>
    </xf>
    <xf numFmtId="0" fontId="8" fillId="16" borderId="121" xfId="0" applyFont="1" applyFill="1" applyBorder="1" applyAlignment="1">
      <alignment horizontal="left"/>
    </xf>
    <xf numFmtId="0" fontId="8" fillId="3" borderId="10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16" borderId="30" xfId="0" applyFont="1" applyFill="1" applyBorder="1" applyAlignment="1">
      <alignment horizontal="left"/>
    </xf>
    <xf numFmtId="0" fontId="8" fillId="16" borderId="50" xfId="0" applyFont="1" applyFill="1" applyBorder="1" applyAlignment="1">
      <alignment horizontal="left"/>
    </xf>
    <xf numFmtId="0" fontId="8" fillId="16" borderId="31" xfId="0" applyFont="1" applyFill="1" applyBorder="1" applyAlignment="1">
      <alignment horizontal="left"/>
    </xf>
    <xf numFmtId="0" fontId="8" fillId="16" borderId="30" xfId="0" applyFont="1" applyFill="1" applyBorder="1" applyAlignment="1">
      <alignment horizontal="center"/>
    </xf>
    <xf numFmtId="0" fontId="8" fillId="16" borderId="50" xfId="0" applyFont="1" applyFill="1" applyBorder="1" applyAlignment="1">
      <alignment horizontal="center"/>
    </xf>
    <xf numFmtId="0" fontId="8" fillId="16" borderId="31" xfId="0" applyFont="1" applyFill="1" applyBorder="1" applyAlignment="1">
      <alignment horizontal="center"/>
    </xf>
    <xf numFmtId="0" fontId="8" fillId="16" borderId="122" xfId="0" applyFont="1" applyFill="1" applyBorder="1" applyAlignment="1">
      <alignment horizontal="center"/>
    </xf>
    <xf numFmtId="0" fontId="8" fillId="16" borderId="121" xfId="0" applyFont="1" applyFill="1" applyBorder="1" applyAlignment="1">
      <alignment horizontal="center"/>
    </xf>
    <xf numFmtId="0" fontId="8" fillId="16" borderId="139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left"/>
    </xf>
    <xf numFmtId="0" fontId="9" fillId="11" borderId="14" xfId="0" applyFont="1" applyFill="1" applyBorder="1" applyAlignment="1">
      <alignment horizontal="left"/>
    </xf>
    <xf numFmtId="0" fontId="9" fillId="11" borderId="15" xfId="0" applyFont="1" applyFill="1" applyBorder="1" applyAlignment="1">
      <alignment horizontal="left"/>
    </xf>
    <xf numFmtId="0" fontId="8" fillId="11" borderId="52" xfId="0" applyFont="1" applyFill="1" applyBorder="1" applyAlignment="1">
      <alignment horizontal="center"/>
    </xf>
    <xf numFmtId="0" fontId="8" fillId="11" borderId="53" xfId="0" applyFont="1" applyFill="1" applyBorder="1" applyAlignment="1">
      <alignment horizontal="center"/>
    </xf>
    <xf numFmtId="0" fontId="0" fillId="11" borderId="10" xfId="0" applyFill="1" applyBorder="1" applyAlignment="1">
      <alignment horizontal="left"/>
    </xf>
    <xf numFmtId="0" fontId="0" fillId="11" borderId="11" xfId="0" applyFill="1" applyBorder="1" applyAlignment="1">
      <alignment horizontal="left"/>
    </xf>
    <xf numFmtId="0" fontId="0" fillId="11" borderId="12" xfId="0" applyFill="1" applyBorder="1" applyAlignment="1">
      <alignment horizontal="left"/>
    </xf>
    <xf numFmtId="0" fontId="8" fillId="11" borderId="50" xfId="0" applyFont="1" applyFill="1" applyBorder="1" applyAlignment="1">
      <alignment horizontal="center"/>
    </xf>
    <xf numFmtId="0" fontId="8" fillId="23" borderId="10" xfId="0" applyFont="1" applyFill="1" applyBorder="1" applyAlignment="1">
      <alignment horizontal="left"/>
    </xf>
    <xf numFmtId="0" fontId="8" fillId="23" borderId="11" xfId="0" applyFont="1" applyFill="1" applyBorder="1" applyAlignment="1">
      <alignment horizontal="left"/>
    </xf>
    <xf numFmtId="0" fontId="8" fillId="23" borderId="12" xfId="0" applyFont="1" applyFill="1" applyBorder="1" applyAlignment="1">
      <alignment horizontal="left"/>
    </xf>
    <xf numFmtId="0" fontId="8" fillId="11" borderId="13" xfId="0" applyFont="1" applyFill="1" applyBorder="1" applyAlignment="1">
      <alignment horizontal="left" indent="4"/>
    </xf>
    <xf numFmtId="0" fontId="8" fillId="11" borderId="14" xfId="0" applyFont="1" applyFill="1" applyBorder="1" applyAlignment="1">
      <alignment horizontal="left" indent="4"/>
    </xf>
    <xf numFmtId="0" fontId="8" fillId="11" borderId="15" xfId="0" applyFont="1" applyFill="1" applyBorder="1" applyAlignment="1">
      <alignment horizontal="left" indent="4"/>
    </xf>
    <xf numFmtId="0" fontId="8" fillId="11" borderId="30" xfId="0" applyFont="1" applyFill="1" applyBorder="1" applyAlignment="1">
      <alignment horizontal="left"/>
    </xf>
    <xf numFmtId="0" fontId="8" fillId="11" borderId="50" xfId="0" applyFont="1" applyFill="1" applyBorder="1" applyAlignment="1">
      <alignment horizontal="left"/>
    </xf>
    <xf numFmtId="0" fontId="8" fillId="11" borderId="31" xfId="0" applyFont="1" applyFill="1" applyBorder="1" applyAlignment="1">
      <alignment horizontal="left"/>
    </xf>
    <xf numFmtId="0" fontId="17" fillId="10" borderId="22" xfId="0" applyFont="1" applyFill="1" applyBorder="1" applyAlignment="1">
      <alignment horizontal="center" vertical="center"/>
    </xf>
    <xf numFmtId="0" fontId="17" fillId="10" borderId="23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28" xfId="0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/>
    </xf>
    <xf numFmtId="0" fontId="10" fillId="16" borderId="14" xfId="0" applyFont="1" applyFill="1" applyBorder="1" applyAlignment="1">
      <alignment horizontal="center"/>
    </xf>
    <xf numFmtId="0" fontId="10" fillId="16" borderId="15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27" fillId="11" borderId="0" xfId="0" applyFont="1" applyFill="1" applyAlignment="1">
      <alignment horizontal="left"/>
    </xf>
    <xf numFmtId="0" fontId="8" fillId="16" borderId="141" xfId="0" applyFont="1" applyFill="1" applyBorder="1" applyAlignment="1">
      <alignment horizontal="center"/>
    </xf>
    <xf numFmtId="0" fontId="8" fillId="16" borderId="14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26" fillId="23" borderId="11" xfId="0" applyFont="1" applyFill="1" applyBorder="1" applyAlignment="1">
      <alignment horizontal="center"/>
    </xf>
    <xf numFmtId="0" fontId="26" fillId="23" borderId="62" xfId="0" applyFont="1" applyFill="1" applyBorder="1" applyAlignment="1">
      <alignment horizontal="center"/>
    </xf>
    <xf numFmtId="0" fontId="26" fillId="23" borderId="14" xfId="0" applyFont="1" applyFill="1" applyBorder="1" applyAlignment="1">
      <alignment horizontal="center"/>
    </xf>
    <xf numFmtId="0" fontId="26" fillId="23" borderId="61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28" fillId="16" borderId="0" xfId="0" applyFont="1" applyFill="1" applyAlignment="1">
      <alignment horizontal="left"/>
    </xf>
    <xf numFmtId="0" fontId="18" fillId="11" borderId="17" xfId="0" applyFont="1" applyFill="1" applyBorder="1" applyAlignment="1">
      <alignment horizontal="center" vertical="center"/>
    </xf>
    <xf numFmtId="0" fontId="18" fillId="11" borderId="21" xfId="0" applyFont="1" applyFill="1" applyBorder="1" applyAlignment="1">
      <alignment horizontal="center" vertical="center"/>
    </xf>
    <xf numFmtId="0" fontId="8" fillId="11" borderId="66" xfId="0" applyFont="1" applyFill="1" applyBorder="1" applyAlignment="1">
      <alignment horizontal="center"/>
    </xf>
    <xf numFmtId="0" fontId="28" fillId="16" borderId="20" xfId="0" applyFont="1" applyFill="1" applyBorder="1" applyAlignment="1">
      <alignment horizontal="left"/>
    </xf>
    <xf numFmtId="0" fontId="8" fillId="16" borderId="10" xfId="0" applyFont="1" applyFill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16" borderId="18" xfId="0" applyFont="1" applyFill="1" applyBorder="1" applyAlignment="1">
      <alignment horizontal="left" vertical="center"/>
    </xf>
    <xf numFmtId="0" fontId="8" fillId="16" borderId="20" xfId="0" applyFont="1" applyFill="1" applyBorder="1" applyAlignment="1">
      <alignment horizontal="left" vertical="center"/>
    </xf>
    <xf numFmtId="0" fontId="8" fillId="16" borderId="19" xfId="0" applyFont="1" applyFill="1" applyBorder="1" applyAlignment="1">
      <alignment horizontal="left" vertical="center"/>
    </xf>
    <xf numFmtId="0" fontId="18" fillId="16" borderId="8" xfId="0" applyFont="1" applyFill="1" applyBorder="1" applyAlignment="1">
      <alignment horizontal="center" vertical="center"/>
    </xf>
    <xf numFmtId="0" fontId="18" fillId="16" borderId="17" xfId="0" applyFont="1" applyFill="1" applyBorder="1" applyAlignment="1">
      <alignment horizontal="center" vertical="center"/>
    </xf>
    <xf numFmtId="0" fontId="18" fillId="16" borderId="21" xfId="0" applyFont="1" applyFill="1" applyBorder="1" applyAlignment="1">
      <alignment horizontal="center" vertical="center"/>
    </xf>
    <xf numFmtId="0" fontId="8" fillId="22" borderId="48" xfId="0" applyFont="1" applyFill="1" applyBorder="1" applyAlignment="1">
      <alignment horizontal="center"/>
    </xf>
    <xf numFmtId="0" fontId="8" fillId="22" borderId="45" xfId="0" applyFont="1" applyFill="1" applyBorder="1" applyAlignment="1">
      <alignment horizontal="center"/>
    </xf>
    <xf numFmtId="0" fontId="8" fillId="21" borderId="56" xfId="0" applyFont="1" applyFill="1" applyBorder="1" applyAlignment="1">
      <alignment horizontal="center"/>
    </xf>
    <xf numFmtId="0" fontId="8" fillId="21" borderId="51" xfId="0" applyFont="1" applyFill="1" applyBorder="1" applyAlignment="1">
      <alignment horizontal="center"/>
    </xf>
    <xf numFmtId="0" fontId="8" fillId="16" borderId="75" xfId="0" applyFont="1" applyFill="1" applyBorder="1" applyAlignment="1">
      <alignment horizontal="center"/>
    </xf>
    <xf numFmtId="0" fontId="8" fillId="16" borderId="63" xfId="0" applyFont="1" applyFill="1" applyBorder="1" applyAlignment="1">
      <alignment horizontal="center"/>
    </xf>
    <xf numFmtId="0" fontId="28" fillId="16" borderId="131" xfId="0" applyFont="1" applyFill="1" applyBorder="1" applyAlignment="1">
      <alignment horizontal="left"/>
    </xf>
    <xf numFmtId="0" fontId="8" fillId="16" borderId="131" xfId="0" applyFont="1" applyFill="1" applyBorder="1" applyAlignment="1">
      <alignment horizontal="left"/>
    </xf>
    <xf numFmtId="0" fontId="8" fillId="16" borderId="133" xfId="0" applyFont="1" applyFill="1" applyBorder="1" applyAlignment="1">
      <alignment horizontal="left"/>
    </xf>
    <xf numFmtId="0" fontId="27" fillId="16" borderId="131" xfId="0" applyFont="1" applyFill="1" applyBorder="1" applyAlignment="1">
      <alignment horizontal="center"/>
    </xf>
    <xf numFmtId="0" fontId="8" fillId="16" borderId="129" xfId="0" applyFont="1" applyFill="1" applyBorder="1" applyAlignment="1">
      <alignment horizontal="center"/>
    </xf>
    <xf numFmtId="0" fontId="8" fillId="16" borderId="130" xfId="0" applyFont="1" applyFill="1" applyBorder="1" applyAlignment="1">
      <alignment horizontal="center"/>
    </xf>
    <xf numFmtId="0" fontId="8" fillId="11" borderId="68" xfId="0" applyFont="1" applyFill="1" applyBorder="1" applyAlignment="1">
      <alignment horizontal="center"/>
    </xf>
    <xf numFmtId="0" fontId="8" fillId="16" borderId="90" xfId="0" applyFont="1" applyFill="1" applyBorder="1" applyAlignment="1">
      <alignment horizontal="left"/>
    </xf>
    <xf numFmtId="0" fontId="8" fillId="16" borderId="91" xfId="0" applyFont="1" applyFill="1" applyBorder="1" applyAlignment="1">
      <alignment horizontal="left"/>
    </xf>
    <xf numFmtId="0" fontId="8" fillId="16" borderId="92" xfId="0" applyFont="1" applyFill="1" applyBorder="1" applyAlignment="1">
      <alignment horizontal="left"/>
    </xf>
    <xf numFmtId="0" fontId="8" fillId="16" borderId="68" xfId="0" applyFont="1" applyFill="1" applyBorder="1" applyAlignment="1">
      <alignment horizontal="center"/>
    </xf>
    <xf numFmtId="0" fontId="8" fillId="16" borderId="139" xfId="0" applyFont="1" applyFill="1" applyBorder="1" applyAlignment="1">
      <alignment horizontal="left"/>
    </xf>
    <xf numFmtId="0" fontId="8" fillId="16" borderId="61" xfId="0" applyFont="1" applyFill="1" applyBorder="1" applyAlignment="1">
      <alignment horizontal="center"/>
    </xf>
    <xf numFmtId="0" fontId="8" fillId="3" borderId="49" xfId="0" applyFont="1" applyFill="1" applyBorder="1" applyAlignment="1">
      <alignment horizontal="center"/>
    </xf>
    <xf numFmtId="0" fontId="8" fillId="3" borderId="46" xfId="0" applyFont="1" applyFill="1" applyBorder="1" applyAlignment="1">
      <alignment horizontal="center"/>
    </xf>
    <xf numFmtId="0" fontId="8" fillId="0" borderId="64" xfId="0" applyFont="1" applyBorder="1" applyAlignment="1">
      <alignment horizontal="center"/>
    </xf>
    <xf numFmtId="0" fontId="8" fillId="16" borderId="134" xfId="0" applyFont="1" applyFill="1" applyBorder="1" applyAlignment="1">
      <alignment horizontal="left"/>
    </xf>
    <xf numFmtId="0" fontId="8" fillId="16" borderId="135" xfId="0" applyFont="1" applyFill="1" applyBorder="1" applyAlignment="1">
      <alignment horizontal="left"/>
    </xf>
    <xf numFmtId="0" fontId="8" fillId="16" borderId="140" xfId="0" applyFont="1" applyFill="1" applyBorder="1" applyAlignment="1">
      <alignment horizontal="left"/>
    </xf>
    <xf numFmtId="0" fontId="8" fillId="16" borderId="72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8" fillId="16" borderId="71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left" vertical="center"/>
    </xf>
    <xf numFmtId="0" fontId="8" fillId="11" borderId="11" xfId="0" applyFont="1" applyFill="1" applyBorder="1" applyAlignment="1">
      <alignment horizontal="left" vertical="center"/>
    </xf>
    <xf numFmtId="0" fontId="8" fillId="11" borderId="12" xfId="0" applyFont="1" applyFill="1" applyBorder="1" applyAlignment="1">
      <alignment horizontal="left" vertical="center"/>
    </xf>
    <xf numFmtId="0" fontId="8" fillId="11" borderId="13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8" fillId="11" borderId="128" xfId="0" applyFont="1" applyFill="1" applyBorder="1" applyAlignment="1">
      <alignment horizontal="left"/>
    </xf>
    <xf numFmtId="0" fontId="8" fillId="11" borderId="129" xfId="0" applyFont="1" applyFill="1" applyBorder="1" applyAlignment="1">
      <alignment horizontal="left"/>
    </xf>
    <xf numFmtId="0" fontId="8" fillId="11" borderId="130" xfId="0" applyFont="1" applyFill="1" applyBorder="1" applyAlignment="1">
      <alignment horizontal="left"/>
    </xf>
    <xf numFmtId="0" fontId="18" fillId="11" borderId="8" xfId="0" applyFont="1" applyFill="1" applyBorder="1" applyAlignment="1">
      <alignment horizontal="center" vertical="center"/>
    </xf>
    <xf numFmtId="0" fontId="8" fillId="11" borderId="27" xfId="0" applyFont="1" applyFill="1" applyBorder="1" applyAlignment="1">
      <alignment horizontal="left"/>
    </xf>
    <xf numFmtId="0" fontId="8" fillId="11" borderId="28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  <xf numFmtId="0" fontId="0" fillId="16" borderId="18" xfId="0" applyFill="1" applyBorder="1" applyAlignment="1">
      <alignment horizontal="left"/>
    </xf>
    <xf numFmtId="0" fontId="0" fillId="16" borderId="20" xfId="0" applyFill="1" applyBorder="1" applyAlignment="1">
      <alignment horizontal="left"/>
    </xf>
    <xf numFmtId="0" fontId="0" fillId="16" borderId="19" xfId="0" applyFill="1" applyBorder="1" applyAlignment="1">
      <alignment horizontal="left"/>
    </xf>
    <xf numFmtId="0" fontId="8" fillId="16" borderId="86" xfId="0" applyFont="1" applyFill="1" applyBorder="1" applyAlignment="1">
      <alignment horizontal="center"/>
    </xf>
    <xf numFmtId="0" fontId="8" fillId="16" borderId="87" xfId="0" applyFont="1" applyFill="1" applyBorder="1" applyAlignment="1">
      <alignment horizontal="center"/>
    </xf>
    <xf numFmtId="0" fontId="8" fillId="16" borderId="88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16" borderId="26" xfId="0" applyFont="1" applyFill="1" applyBorder="1" applyAlignment="1">
      <alignment horizontal="center" vertical="center"/>
    </xf>
    <xf numFmtId="0" fontId="8" fillId="11" borderId="78" xfId="0" applyFont="1" applyFill="1" applyBorder="1" applyAlignment="1">
      <alignment horizontal="center"/>
    </xf>
    <xf numFmtId="0" fontId="8" fillId="11" borderId="23" xfId="0" applyFont="1" applyFill="1" applyBorder="1" applyAlignment="1">
      <alignment horizontal="center"/>
    </xf>
    <xf numFmtId="0" fontId="8" fillId="11" borderId="70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20" xfId="0" applyFont="1" applyFill="1" applyBorder="1" applyAlignment="1">
      <alignment horizontal="center"/>
    </xf>
    <xf numFmtId="0" fontId="26" fillId="24" borderId="63" xfId="0" applyFont="1" applyFill="1" applyBorder="1" applyAlignment="1">
      <alignment horizontal="center"/>
    </xf>
    <xf numFmtId="0" fontId="26" fillId="23" borderId="74" xfId="0" applyFont="1" applyFill="1" applyBorder="1" applyAlignment="1">
      <alignment horizontal="center"/>
    </xf>
    <xf numFmtId="0" fontId="26" fillId="23" borderId="10" xfId="0" applyFont="1" applyFill="1" applyBorder="1"/>
    <xf numFmtId="0" fontId="26" fillId="23" borderId="11" xfId="0" applyFont="1" applyFill="1" applyBorder="1"/>
    <xf numFmtId="0" fontId="26" fillId="23" borderId="13" xfId="0" applyFont="1" applyFill="1" applyBorder="1"/>
    <xf numFmtId="0" fontId="26" fillId="23" borderId="14" xfId="0" applyFont="1" applyFill="1" applyBorder="1"/>
    <xf numFmtId="0" fontId="26" fillId="24" borderId="11" xfId="0" applyFont="1" applyFill="1" applyBorder="1" applyAlignment="1">
      <alignment horizontal="center"/>
    </xf>
    <xf numFmtId="0" fontId="26" fillId="24" borderId="6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/>
    </xf>
    <xf numFmtId="0" fontId="19" fillId="6" borderId="25" xfId="0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8" fillId="9" borderId="38" xfId="0" applyFont="1" applyFill="1" applyBorder="1" applyAlignment="1">
      <alignment horizontal="left"/>
    </xf>
    <xf numFmtId="0" fontId="26" fillId="25" borderId="10" xfId="0" applyFont="1" applyFill="1" applyBorder="1"/>
    <xf numFmtId="0" fontId="26" fillId="25" borderId="11" xfId="0" applyFont="1" applyFill="1" applyBorder="1"/>
    <xf numFmtId="0" fontId="8" fillId="11" borderId="22" xfId="0" applyFont="1" applyFill="1" applyBorder="1" applyAlignment="1">
      <alignment horizontal="center"/>
    </xf>
    <xf numFmtId="0" fontId="8" fillId="11" borderId="24" xfId="0" applyFont="1" applyFill="1" applyBorder="1" applyAlignment="1">
      <alignment horizontal="center"/>
    </xf>
    <xf numFmtId="0" fontId="0" fillId="11" borderId="27" xfId="0" applyFill="1" applyBorder="1" applyAlignment="1">
      <alignment horizontal="left"/>
    </xf>
    <xf numFmtId="0" fontId="0" fillId="11" borderId="28" xfId="0" applyFill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9" fillId="11" borderId="10" xfId="0" applyFont="1" applyFill="1" applyBorder="1" applyAlignment="1">
      <alignment horizontal="left"/>
    </xf>
    <xf numFmtId="0" fontId="9" fillId="11" borderId="11" xfId="0" applyFont="1" applyFill="1" applyBorder="1" applyAlignment="1">
      <alignment horizontal="left"/>
    </xf>
    <xf numFmtId="0" fontId="26" fillId="25" borderId="11" xfId="0" applyFont="1" applyFill="1" applyBorder="1" applyAlignment="1">
      <alignment horizontal="center"/>
    </xf>
    <xf numFmtId="0" fontId="26" fillId="25" borderId="62" xfId="0" applyFont="1" applyFill="1" applyBorder="1" applyAlignment="1">
      <alignment horizontal="center"/>
    </xf>
    <xf numFmtId="0" fontId="26" fillId="25" borderId="13" xfId="0" applyFont="1" applyFill="1" applyBorder="1" applyAlignment="1">
      <alignment horizontal="center"/>
    </xf>
    <xf numFmtId="0" fontId="26" fillId="25" borderId="14" xfId="0" applyFont="1" applyFill="1" applyBorder="1" applyAlignment="1">
      <alignment horizontal="center"/>
    </xf>
    <xf numFmtId="0" fontId="26" fillId="25" borderId="61" xfId="0" applyFont="1" applyFill="1" applyBorder="1" applyAlignment="1">
      <alignment horizontal="center"/>
    </xf>
    <xf numFmtId="0" fontId="26" fillId="24" borderId="10" xfId="0" applyFont="1" applyFill="1" applyBorder="1"/>
    <xf numFmtId="0" fontId="26" fillId="24" borderId="11" xfId="0" applyFont="1" applyFill="1" applyBorder="1"/>
    <xf numFmtId="0" fontId="19" fillId="6" borderId="8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0" fontId="26" fillId="25" borderId="13" xfId="0" applyFont="1" applyFill="1" applyBorder="1"/>
    <xf numFmtId="0" fontId="26" fillId="25" borderId="14" xfId="0" applyFont="1" applyFill="1" applyBorder="1"/>
    <xf numFmtId="0" fontId="8" fillId="11" borderId="62" xfId="0" applyFont="1" applyFill="1" applyBorder="1" applyAlignment="1">
      <alignment horizontal="left"/>
    </xf>
    <xf numFmtId="0" fontId="26" fillId="25" borderId="62" xfId="0" applyFont="1" applyFill="1" applyBorder="1"/>
    <xf numFmtId="0" fontId="26" fillId="25" borderId="18" xfId="0" applyFont="1" applyFill="1" applyBorder="1"/>
    <xf numFmtId="0" fontId="26" fillId="25" borderId="20" xfId="0" applyFont="1" applyFill="1" applyBorder="1"/>
    <xf numFmtId="0" fontId="26" fillId="25" borderId="63" xfId="0" applyFont="1" applyFill="1" applyBorder="1"/>
    <xf numFmtId="0" fontId="26" fillId="23" borderId="73" xfId="0" applyFont="1" applyFill="1" applyBorder="1" applyAlignment="1">
      <alignment horizontal="center"/>
    </xf>
    <xf numFmtId="0" fontId="26" fillId="25" borderId="61" xfId="0" applyFont="1" applyFill="1" applyBorder="1"/>
    <xf numFmtId="0" fontId="26" fillId="24" borderId="62" xfId="0" applyFont="1" applyFill="1" applyBorder="1"/>
    <xf numFmtId="0" fontId="8" fillId="11" borderId="73" xfId="0" applyFont="1" applyFill="1" applyBorder="1" applyAlignment="1">
      <alignment horizontal="center"/>
    </xf>
    <xf numFmtId="0" fontId="8" fillId="11" borderId="107" xfId="0" applyFont="1" applyFill="1" applyBorder="1" applyAlignment="1">
      <alignment horizontal="center"/>
    </xf>
    <xf numFmtId="0" fontId="8" fillId="11" borderId="80" xfId="0" applyFont="1" applyFill="1" applyBorder="1" applyAlignment="1">
      <alignment horizontal="center"/>
    </xf>
    <xf numFmtId="0" fontId="8" fillId="16" borderId="76" xfId="0" applyFont="1" applyFill="1" applyBorder="1" applyAlignment="1">
      <alignment horizontal="center"/>
    </xf>
    <xf numFmtId="0" fontId="8" fillId="16" borderId="69" xfId="0" applyFont="1" applyFill="1" applyBorder="1" applyAlignment="1">
      <alignment horizontal="center"/>
    </xf>
    <xf numFmtId="0" fontId="8" fillId="16" borderId="155" xfId="0" applyFont="1" applyFill="1" applyBorder="1" applyAlignment="1">
      <alignment horizontal="center"/>
    </xf>
    <xf numFmtId="0" fontId="8" fillId="16" borderId="156" xfId="0" applyFont="1" applyFill="1" applyBorder="1" applyAlignment="1">
      <alignment horizontal="center"/>
    </xf>
    <xf numFmtId="0" fontId="8" fillId="16" borderId="157" xfId="0" applyFont="1" applyFill="1" applyBorder="1" applyAlignment="1">
      <alignment horizontal="center"/>
    </xf>
    <xf numFmtId="0" fontId="8" fillId="16" borderId="0" xfId="0" applyFont="1" applyFill="1" applyAlignment="1">
      <alignment horizontal="left"/>
    </xf>
    <xf numFmtId="0" fontId="8" fillId="16" borderId="107" xfId="0" applyFont="1" applyFill="1" applyBorder="1" applyAlignment="1">
      <alignment horizontal="center"/>
    </xf>
    <xf numFmtId="0" fontId="8" fillId="16" borderId="80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left" vertical="center"/>
    </xf>
    <xf numFmtId="0" fontId="10" fillId="16" borderId="20" xfId="0" applyFont="1" applyFill="1" applyBorder="1" applyAlignment="1">
      <alignment horizontal="left" vertical="center"/>
    </xf>
    <xf numFmtId="0" fontId="10" fillId="16" borderId="19" xfId="0" applyFont="1" applyFill="1" applyBorder="1" applyAlignment="1">
      <alignment horizontal="left" vertical="center"/>
    </xf>
    <xf numFmtId="0" fontId="8" fillId="11" borderId="77" xfId="0" applyFont="1" applyFill="1" applyBorder="1" applyAlignment="1">
      <alignment horizontal="center"/>
    </xf>
    <xf numFmtId="0" fontId="8" fillId="22" borderId="64" xfId="0" applyFont="1" applyFill="1" applyBorder="1" applyAlignment="1">
      <alignment horizontal="center"/>
    </xf>
    <xf numFmtId="0" fontId="8" fillId="22" borderId="44" xfId="0" applyFont="1" applyFill="1" applyBorder="1" applyAlignment="1">
      <alignment horizontal="center"/>
    </xf>
    <xf numFmtId="0" fontId="8" fillId="11" borderId="72" xfId="0" applyFont="1" applyFill="1" applyBorder="1" applyAlignment="1">
      <alignment horizontal="center"/>
    </xf>
    <xf numFmtId="0" fontId="8" fillId="11" borderId="55" xfId="0" applyFont="1" applyFill="1" applyBorder="1" applyAlignment="1">
      <alignment horizontal="center"/>
    </xf>
    <xf numFmtId="0" fontId="8" fillId="11" borderId="75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8" fillId="22" borderId="65" xfId="0" applyFont="1" applyFill="1" applyBorder="1" applyAlignment="1">
      <alignment horizontal="center"/>
    </xf>
    <xf numFmtId="0" fontId="8" fillId="22" borderId="68" xfId="0" applyFont="1" applyFill="1" applyBorder="1" applyAlignment="1">
      <alignment horizontal="center"/>
    </xf>
    <xf numFmtId="0" fontId="8" fillId="22" borderId="51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left"/>
    </xf>
    <xf numFmtId="0" fontId="8" fillId="11" borderId="0" xfId="0" applyFont="1" applyFill="1" applyAlignment="1">
      <alignment horizontal="left"/>
    </xf>
    <xf numFmtId="0" fontId="8" fillId="11" borderId="26" xfId="0" applyFont="1" applyFill="1" applyBorder="1" applyAlignment="1">
      <alignment horizontal="left"/>
    </xf>
    <xf numFmtId="0" fontId="8" fillId="11" borderId="27" xfId="0" applyFont="1" applyFill="1" applyBorder="1" applyAlignment="1">
      <alignment horizontal="left" vertical="center"/>
    </xf>
    <xf numFmtId="0" fontId="8" fillId="11" borderId="28" xfId="0" applyFont="1" applyFill="1" applyBorder="1" applyAlignment="1">
      <alignment horizontal="left" vertical="center"/>
    </xf>
    <xf numFmtId="0" fontId="8" fillId="11" borderId="29" xfId="0" applyFont="1" applyFill="1" applyBorder="1" applyAlignment="1">
      <alignment horizontal="left" vertical="center"/>
    </xf>
    <xf numFmtId="0" fontId="26" fillId="25" borderId="10" xfId="0" applyFont="1" applyFill="1" applyBorder="1" applyAlignment="1">
      <alignment horizontal="center"/>
    </xf>
    <xf numFmtId="0" fontId="8" fillId="22" borderId="72" xfId="0" applyFont="1" applyFill="1" applyBorder="1" applyAlignment="1">
      <alignment horizontal="center"/>
    </xf>
    <xf numFmtId="0" fontId="8" fillId="22" borderId="55" xfId="0" applyFont="1" applyFill="1" applyBorder="1" applyAlignment="1">
      <alignment horizontal="center"/>
    </xf>
    <xf numFmtId="0" fontId="18" fillId="16" borderId="76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left"/>
    </xf>
    <xf numFmtId="0" fontId="8" fillId="11" borderId="23" xfId="0" applyFont="1" applyFill="1" applyBorder="1" applyAlignment="1">
      <alignment horizontal="left"/>
    </xf>
    <xf numFmtId="0" fontId="8" fillId="11" borderId="24" xfId="0" applyFont="1" applyFill="1" applyBorder="1" applyAlignment="1">
      <alignment horizontal="left"/>
    </xf>
    <xf numFmtId="0" fontId="8" fillId="11" borderId="13" xfId="0" applyFont="1" applyFill="1" applyBorder="1" applyAlignment="1">
      <alignment horizontal="left" vertical="center"/>
    </xf>
    <xf numFmtId="0" fontId="8" fillId="11" borderId="14" xfId="0" applyFont="1" applyFill="1" applyBorder="1" applyAlignment="1">
      <alignment horizontal="left" vertical="center"/>
    </xf>
    <xf numFmtId="0" fontId="8" fillId="11" borderId="15" xfId="0" applyFont="1" applyFill="1" applyBorder="1" applyAlignment="1">
      <alignment horizontal="left" vertical="center"/>
    </xf>
    <xf numFmtId="0" fontId="29" fillId="16" borderId="10" xfId="0" applyFont="1" applyFill="1" applyBorder="1" applyAlignment="1">
      <alignment horizontal="left"/>
    </xf>
    <xf numFmtId="0" fontId="29" fillId="16" borderId="11" xfId="0" applyFont="1" applyFill="1" applyBorder="1" applyAlignment="1">
      <alignment horizontal="left"/>
    </xf>
    <xf numFmtId="0" fontId="29" fillId="16" borderId="12" xfId="0" applyFont="1" applyFill="1" applyBorder="1" applyAlignment="1">
      <alignment horizontal="left"/>
    </xf>
    <xf numFmtId="0" fontId="9" fillId="16" borderId="56" xfId="0" applyFont="1" applyFill="1" applyBorder="1" applyAlignment="1">
      <alignment horizontal="center"/>
    </xf>
    <xf numFmtId="0" fontId="9" fillId="16" borderId="51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5" fillId="11" borderId="21" xfId="0" applyFont="1" applyFill="1" applyBorder="1" applyAlignment="1">
      <alignment horizontal="center" vertical="center"/>
    </xf>
    <xf numFmtId="0" fontId="8" fillId="11" borderId="95" xfId="0" applyFont="1" applyFill="1" applyBorder="1" applyAlignment="1">
      <alignment horizontal="left"/>
    </xf>
    <xf numFmtId="0" fontId="8" fillId="11" borderId="96" xfId="0" applyFont="1" applyFill="1" applyBorder="1" applyAlignment="1">
      <alignment horizontal="left"/>
    </xf>
    <xf numFmtId="0" fontId="8" fillId="11" borderId="97" xfId="0" applyFont="1" applyFill="1" applyBorder="1" applyAlignment="1">
      <alignment horizontal="left"/>
    </xf>
    <xf numFmtId="0" fontId="26" fillId="23" borderId="18" xfId="0" applyFont="1" applyFill="1" applyBorder="1"/>
    <xf numFmtId="0" fontId="26" fillId="23" borderId="20" xfId="0" applyFont="1" applyFill="1" applyBorder="1"/>
    <xf numFmtId="0" fontId="26" fillId="23" borderId="63" xfId="0" applyFont="1" applyFill="1" applyBorder="1"/>
    <xf numFmtId="0" fontId="29" fillId="11" borderId="10" xfId="0" applyFont="1" applyFill="1" applyBorder="1" applyAlignment="1">
      <alignment horizontal="left"/>
    </xf>
    <xf numFmtId="0" fontId="29" fillId="11" borderId="11" xfId="0" applyFont="1" applyFill="1" applyBorder="1" applyAlignment="1">
      <alignment horizontal="left"/>
    </xf>
    <xf numFmtId="0" fontId="29" fillId="11" borderId="12" xfId="0" applyFont="1" applyFill="1" applyBorder="1" applyAlignment="1">
      <alignment horizontal="left"/>
    </xf>
    <xf numFmtId="0" fontId="8" fillId="16" borderId="10" xfId="0" applyFont="1" applyFill="1" applyBorder="1" applyAlignment="1">
      <alignment horizontal="left" vertical="center"/>
    </xf>
    <xf numFmtId="0" fontId="8" fillId="16" borderId="11" xfId="0" applyFont="1" applyFill="1" applyBorder="1" applyAlignment="1">
      <alignment horizontal="left" vertical="center"/>
    </xf>
    <xf numFmtId="0" fontId="8" fillId="16" borderId="12" xfId="0" applyFont="1" applyFill="1" applyBorder="1" applyAlignment="1">
      <alignment horizontal="left" vertical="center"/>
    </xf>
    <xf numFmtId="0" fontId="26" fillId="23" borderId="10" xfId="0" applyFont="1" applyFill="1" applyBorder="1" applyAlignment="1">
      <alignment horizontal="center"/>
    </xf>
    <xf numFmtId="0" fontId="13" fillId="16" borderId="13" xfId="0" applyFont="1" applyFill="1" applyBorder="1" applyAlignment="1">
      <alignment horizontal="left"/>
    </xf>
    <xf numFmtId="0" fontId="13" fillId="16" borderId="14" xfId="0" applyFont="1" applyFill="1" applyBorder="1" applyAlignment="1">
      <alignment horizontal="left"/>
    </xf>
    <xf numFmtId="0" fontId="13" fillId="16" borderId="15" xfId="0" applyFont="1" applyFill="1" applyBorder="1" applyAlignment="1">
      <alignment horizontal="left"/>
    </xf>
    <xf numFmtId="0" fontId="26" fillId="23" borderId="13" xfId="0" applyFont="1" applyFill="1" applyBorder="1" applyAlignment="1">
      <alignment horizontal="center"/>
    </xf>
    <xf numFmtId="0" fontId="26" fillId="23" borderId="62" xfId="0" applyFont="1" applyFill="1" applyBorder="1"/>
    <xf numFmtId="0" fontId="10" fillId="16" borderId="10" xfId="0" applyFont="1" applyFill="1" applyBorder="1"/>
    <xf numFmtId="0" fontId="10" fillId="16" borderId="11" xfId="0" applyFont="1" applyFill="1" applyBorder="1"/>
    <xf numFmtId="0" fontId="10" fillId="16" borderId="12" xfId="0" applyFont="1" applyFill="1" applyBorder="1"/>
    <xf numFmtId="0" fontId="9" fillId="11" borderId="49" xfId="0" applyFont="1" applyFill="1" applyBorder="1" applyAlignment="1">
      <alignment horizontal="center"/>
    </xf>
    <xf numFmtId="0" fontId="9" fillId="11" borderId="46" xfId="0" applyFont="1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8" fillId="11" borderId="141" xfId="0" applyFont="1" applyFill="1" applyBorder="1" applyAlignment="1">
      <alignment horizontal="center"/>
    </xf>
    <xf numFmtId="0" fontId="8" fillId="11" borderId="142" xfId="0" applyFont="1" applyFill="1" applyBorder="1" applyAlignment="1">
      <alignment horizontal="center"/>
    </xf>
    <xf numFmtId="0" fontId="8" fillId="11" borderId="151" xfId="0" applyFont="1" applyFill="1" applyBorder="1" applyAlignment="1">
      <alignment horizontal="center"/>
    </xf>
    <xf numFmtId="0" fontId="8" fillId="11" borderId="152" xfId="0" applyFont="1" applyFill="1" applyBorder="1" applyAlignment="1">
      <alignment horizontal="center"/>
    </xf>
    <xf numFmtId="0" fontId="10" fillId="16" borderId="108" xfId="0" applyFont="1" applyFill="1" applyBorder="1" applyAlignment="1">
      <alignment horizontal="center"/>
    </xf>
    <xf numFmtId="0" fontId="8" fillId="11" borderId="113" xfId="0" applyFont="1" applyFill="1" applyBorder="1" applyAlignment="1">
      <alignment horizontal="center"/>
    </xf>
    <xf numFmtId="0" fontId="8" fillId="11" borderId="114" xfId="0" applyFont="1" applyFill="1" applyBorder="1" applyAlignment="1">
      <alignment horizontal="center"/>
    </xf>
    <xf numFmtId="0" fontId="8" fillId="11" borderId="115" xfId="0" applyFont="1" applyFill="1" applyBorder="1" applyAlignment="1">
      <alignment horizontal="center"/>
    </xf>
    <xf numFmtId="0" fontId="8" fillId="16" borderId="73" xfId="0" applyFont="1" applyFill="1" applyBorder="1" applyAlignment="1">
      <alignment horizontal="center"/>
    </xf>
    <xf numFmtId="0" fontId="8" fillId="11" borderId="124" xfId="0" applyFont="1" applyFill="1" applyBorder="1" applyAlignment="1">
      <alignment horizontal="center"/>
    </xf>
    <xf numFmtId="0" fontId="8" fillId="11" borderId="125" xfId="0" applyFont="1" applyFill="1" applyBorder="1" applyAlignment="1">
      <alignment horizontal="center"/>
    </xf>
    <xf numFmtId="0" fontId="8" fillId="11" borderId="126" xfId="0" applyFont="1" applyFill="1" applyBorder="1" applyAlignment="1">
      <alignment horizontal="center"/>
    </xf>
    <xf numFmtId="0" fontId="10" fillId="11" borderId="40" xfId="0" applyFont="1" applyFill="1" applyBorder="1" applyAlignment="1">
      <alignment horizontal="center" vertical="center"/>
    </xf>
    <xf numFmtId="0" fontId="10" fillId="11" borderId="41" xfId="0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0" fontId="10" fillId="27" borderId="49" xfId="0" applyFont="1" applyFill="1" applyBorder="1" applyAlignment="1">
      <alignment horizontal="center" vertical="center"/>
    </xf>
    <xf numFmtId="0" fontId="10" fillId="27" borderId="46" xfId="0" applyFont="1" applyFill="1" applyBorder="1" applyAlignment="1">
      <alignment horizontal="center" vertical="center"/>
    </xf>
    <xf numFmtId="0" fontId="18" fillId="16" borderId="22" xfId="0" applyFont="1" applyFill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2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/>
    </xf>
    <xf numFmtId="0" fontId="8" fillId="11" borderId="40" xfId="0" applyFont="1" applyFill="1" applyBorder="1" applyAlignment="1">
      <alignment horizontal="left" wrapText="1"/>
    </xf>
    <xf numFmtId="0" fontId="8" fillId="11" borderId="41" xfId="0" applyFont="1" applyFill="1" applyBorder="1" applyAlignment="1">
      <alignment horizontal="left" wrapText="1"/>
    </xf>
    <xf numFmtId="0" fontId="8" fillId="11" borderId="42" xfId="0" applyFont="1" applyFill="1" applyBorder="1" applyAlignment="1">
      <alignment horizontal="left" wrapText="1"/>
    </xf>
    <xf numFmtId="0" fontId="18" fillId="11" borderId="25" xfId="0" applyFont="1" applyFill="1" applyBorder="1" applyAlignment="1">
      <alignment horizontal="center" vertical="center"/>
    </xf>
    <xf numFmtId="0" fontId="8" fillId="11" borderId="83" xfId="0" applyFont="1" applyFill="1" applyBorder="1" applyAlignment="1">
      <alignment horizontal="left"/>
    </xf>
    <xf numFmtId="0" fontId="8" fillId="11" borderId="84" xfId="0" applyFont="1" applyFill="1" applyBorder="1" applyAlignment="1">
      <alignment horizontal="left"/>
    </xf>
    <xf numFmtId="0" fontId="8" fillId="11" borderId="85" xfId="0" applyFont="1" applyFill="1" applyBorder="1" applyAlignment="1">
      <alignment horizontal="left"/>
    </xf>
    <xf numFmtId="0" fontId="8" fillId="16" borderId="86" xfId="0" applyFont="1" applyFill="1" applyBorder="1" applyAlignment="1">
      <alignment horizontal="left"/>
    </xf>
    <xf numFmtId="0" fontId="8" fillId="16" borderId="87" xfId="0" applyFont="1" applyFill="1" applyBorder="1" applyAlignment="1">
      <alignment horizontal="left"/>
    </xf>
    <xf numFmtId="0" fontId="8" fillId="16" borderId="88" xfId="0" applyFont="1" applyFill="1" applyBorder="1" applyAlignment="1">
      <alignment horizontal="left"/>
    </xf>
    <xf numFmtId="0" fontId="8" fillId="16" borderId="25" xfId="0" applyFont="1" applyFill="1" applyBorder="1" applyAlignment="1">
      <alignment horizontal="left"/>
    </xf>
    <xf numFmtId="0" fontId="8" fillId="16" borderId="26" xfId="0" applyFont="1" applyFill="1" applyBorder="1" applyAlignment="1">
      <alignment horizontal="left"/>
    </xf>
    <xf numFmtId="0" fontId="10" fillId="11" borderId="40" xfId="0" applyFont="1" applyFill="1" applyBorder="1" applyAlignment="1">
      <alignment horizontal="left" vertical="center"/>
    </xf>
    <xf numFmtId="0" fontId="10" fillId="11" borderId="41" xfId="0" applyFont="1" applyFill="1" applyBorder="1" applyAlignment="1">
      <alignment horizontal="left" vertical="center"/>
    </xf>
    <xf numFmtId="0" fontId="10" fillId="11" borderId="42" xfId="0" applyFont="1" applyFill="1" applyBorder="1" applyAlignment="1">
      <alignment horizontal="left" vertical="center"/>
    </xf>
    <xf numFmtId="0" fontId="26" fillId="23" borderId="61" xfId="0" applyFont="1" applyFill="1" applyBorder="1"/>
    <xf numFmtId="0" fontId="8" fillId="16" borderId="79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left" wrapText="1"/>
    </xf>
    <xf numFmtId="0" fontId="8" fillId="11" borderId="20" xfId="0" applyFont="1" applyFill="1" applyBorder="1" applyAlignment="1">
      <alignment horizontal="left" wrapText="1"/>
    </xf>
    <xf numFmtId="0" fontId="8" fillId="11" borderId="19" xfId="0" applyFont="1" applyFill="1" applyBorder="1" applyAlignment="1">
      <alignment horizontal="left" wrapText="1"/>
    </xf>
    <xf numFmtId="0" fontId="10" fillId="16" borderId="27" xfId="0" applyFont="1" applyFill="1" applyBorder="1" applyAlignment="1">
      <alignment horizontal="center" vertical="center"/>
    </xf>
    <xf numFmtId="0" fontId="10" fillId="16" borderId="28" xfId="0" applyFont="1" applyFill="1" applyBorder="1" applyAlignment="1">
      <alignment horizontal="center" vertical="center"/>
    </xf>
    <xf numFmtId="0" fontId="10" fillId="16" borderId="29" xfId="0" applyFont="1" applyFill="1" applyBorder="1" applyAlignment="1">
      <alignment horizontal="center" vertical="center"/>
    </xf>
    <xf numFmtId="0" fontId="8" fillId="16" borderId="70" xfId="0" applyFont="1" applyFill="1" applyBorder="1" applyAlignment="1">
      <alignment horizontal="left"/>
    </xf>
    <xf numFmtId="0" fontId="28" fillId="11" borderId="131" xfId="0" applyFont="1" applyFill="1" applyBorder="1" applyAlignment="1">
      <alignment horizontal="left"/>
    </xf>
    <xf numFmtId="0" fontId="8" fillId="11" borderId="93" xfId="0" applyFont="1" applyFill="1" applyBorder="1" applyAlignment="1">
      <alignment horizontal="left"/>
    </xf>
    <xf numFmtId="0" fontId="8" fillId="11" borderId="94" xfId="0" applyFont="1" applyFill="1" applyBorder="1" applyAlignment="1">
      <alignment horizontal="left"/>
    </xf>
    <xf numFmtId="0" fontId="8" fillId="11" borderId="100" xfId="0" applyFont="1" applyFill="1" applyBorder="1" applyAlignment="1">
      <alignment horizontal="left"/>
    </xf>
    <xf numFmtId="0" fontId="8" fillId="11" borderId="101" xfId="0" applyFont="1" applyFill="1" applyBorder="1" applyAlignment="1">
      <alignment horizontal="left"/>
    </xf>
    <xf numFmtId="0" fontId="8" fillId="11" borderId="102" xfId="0" applyFont="1" applyFill="1" applyBorder="1" applyAlignment="1">
      <alignment horizontal="left"/>
    </xf>
    <xf numFmtId="0" fontId="8" fillId="11" borderId="103" xfId="0" applyFont="1" applyFill="1" applyBorder="1" applyAlignment="1">
      <alignment horizontal="left"/>
    </xf>
    <xf numFmtId="0" fontId="8" fillId="11" borderId="0" xfId="0" applyFont="1" applyFill="1" applyAlignment="1">
      <alignment horizontal="left" wrapText="1"/>
    </xf>
    <xf numFmtId="0" fontId="8" fillId="11" borderId="69" xfId="0" applyFont="1" applyFill="1" applyBorder="1" applyAlignment="1">
      <alignment horizontal="left"/>
    </xf>
    <xf numFmtId="0" fontId="10" fillId="11" borderId="30" xfId="0" applyFont="1" applyFill="1" applyBorder="1" applyAlignment="1">
      <alignment horizontal="left"/>
    </xf>
    <xf numFmtId="0" fontId="10" fillId="11" borderId="50" xfId="0" applyFont="1" applyFill="1" applyBorder="1" applyAlignment="1">
      <alignment horizontal="left"/>
    </xf>
    <xf numFmtId="0" fontId="10" fillId="11" borderId="31" xfId="0" applyFont="1" applyFill="1" applyBorder="1" applyAlignment="1">
      <alignment horizontal="left"/>
    </xf>
    <xf numFmtId="0" fontId="10" fillId="11" borderId="138" xfId="0" applyFont="1" applyFill="1" applyBorder="1" applyAlignment="1">
      <alignment horizontal="center"/>
    </xf>
    <xf numFmtId="0" fontId="10" fillId="11" borderId="30" xfId="0" applyFont="1" applyFill="1" applyBorder="1" applyAlignment="1">
      <alignment horizontal="center"/>
    </xf>
    <xf numFmtId="0" fontId="10" fillId="11" borderId="50" xfId="0" applyFont="1" applyFill="1" applyBorder="1" applyAlignment="1">
      <alignment horizontal="center"/>
    </xf>
    <xf numFmtId="0" fontId="10" fillId="11" borderId="105" xfId="0" applyFont="1" applyFill="1" applyBorder="1" applyAlignment="1">
      <alignment horizontal="center"/>
    </xf>
    <xf numFmtId="0" fontId="10" fillId="11" borderId="44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11" borderId="49" xfId="0" applyFont="1" applyFill="1" applyBorder="1" applyAlignment="1">
      <alignment horizontal="center" vertical="center"/>
    </xf>
    <xf numFmtId="0" fontId="10" fillId="11" borderId="46" xfId="0" applyFont="1" applyFill="1" applyBorder="1" applyAlignment="1">
      <alignment horizontal="center" vertical="center"/>
    </xf>
    <xf numFmtId="0" fontId="8" fillId="16" borderId="78" xfId="0" applyFont="1" applyFill="1" applyBorder="1" applyAlignment="1">
      <alignment horizontal="center"/>
    </xf>
    <xf numFmtId="0" fontId="8" fillId="16" borderId="93" xfId="0" applyFont="1" applyFill="1" applyBorder="1" applyAlignment="1">
      <alignment horizontal="left"/>
    </xf>
    <xf numFmtId="0" fontId="8" fillId="16" borderId="94" xfId="0" applyFont="1" applyFill="1" applyBorder="1" applyAlignment="1">
      <alignment horizontal="left"/>
    </xf>
    <xf numFmtId="0" fontId="8" fillId="16" borderId="100" xfId="0" applyFont="1" applyFill="1" applyBorder="1" applyAlignment="1">
      <alignment horizontal="left"/>
    </xf>
    <xf numFmtId="0" fontId="8" fillId="11" borderId="10" xfId="0" applyFont="1" applyFill="1" applyBorder="1" applyAlignment="1">
      <alignment horizontal="left" wrapText="1"/>
    </xf>
    <xf numFmtId="0" fontId="8" fillId="11" borderId="11" xfId="0" applyFont="1" applyFill="1" applyBorder="1" applyAlignment="1">
      <alignment horizontal="left" wrapText="1"/>
    </xf>
    <xf numFmtId="0" fontId="8" fillId="11" borderId="12" xfId="0" applyFont="1" applyFill="1" applyBorder="1" applyAlignment="1">
      <alignment horizontal="left" wrapText="1"/>
    </xf>
    <xf numFmtId="0" fontId="10" fillId="11" borderId="63" xfId="0" applyFont="1" applyFill="1" applyBorder="1" applyAlignment="1">
      <alignment horizontal="left"/>
    </xf>
    <xf numFmtId="0" fontId="10" fillId="11" borderId="13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0" fillId="16" borderId="27" xfId="0" applyFont="1" applyFill="1" applyBorder="1" applyAlignment="1">
      <alignment horizontal="left" vertical="center"/>
    </xf>
    <xf numFmtId="0" fontId="10" fillId="16" borderId="28" xfId="0" applyFont="1" applyFill="1" applyBorder="1" applyAlignment="1">
      <alignment horizontal="left" vertical="center"/>
    </xf>
    <xf numFmtId="0" fontId="10" fillId="16" borderId="29" xfId="0" applyFont="1" applyFill="1" applyBorder="1" applyAlignment="1">
      <alignment horizontal="left" vertical="center"/>
    </xf>
    <xf numFmtId="0" fontId="8" fillId="16" borderId="13" xfId="0" applyFont="1" applyFill="1" applyBorder="1" applyAlignment="1">
      <alignment horizontal="left" vertical="center"/>
    </xf>
    <xf numFmtId="0" fontId="8" fillId="16" borderId="14" xfId="0" applyFont="1" applyFill="1" applyBorder="1" applyAlignment="1">
      <alignment horizontal="left" vertical="center"/>
    </xf>
    <xf numFmtId="0" fontId="8" fillId="16" borderId="15" xfId="0" applyFont="1" applyFill="1" applyBorder="1" applyAlignment="1">
      <alignment horizontal="left" vertical="center"/>
    </xf>
    <xf numFmtId="0" fontId="8" fillId="16" borderId="13" xfId="0" applyFont="1" applyFill="1" applyBorder="1" applyAlignment="1">
      <alignment horizontal="center" vertical="center"/>
    </xf>
    <xf numFmtId="0" fontId="8" fillId="16" borderId="14" xfId="0" applyFont="1" applyFill="1" applyBorder="1" applyAlignment="1">
      <alignment horizontal="center" vertical="center"/>
    </xf>
    <xf numFmtId="0" fontId="8" fillId="16" borderId="61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left" vertical="center"/>
    </xf>
    <xf numFmtId="0" fontId="10" fillId="11" borderId="14" xfId="0" applyFont="1" applyFill="1" applyBorder="1" applyAlignment="1">
      <alignment horizontal="left" vertical="center"/>
    </xf>
    <xf numFmtId="0" fontId="10" fillId="11" borderId="15" xfId="0" applyFont="1" applyFill="1" applyBorder="1" applyAlignment="1">
      <alignment horizontal="left" vertical="center"/>
    </xf>
    <xf numFmtId="0" fontId="10" fillId="16" borderId="25" xfId="0" applyFont="1" applyFill="1" applyBorder="1" applyAlignment="1">
      <alignment horizontal="left"/>
    </xf>
    <xf numFmtId="0" fontId="10" fillId="16" borderId="0" xfId="0" applyFont="1" applyFill="1" applyAlignment="1">
      <alignment horizontal="left"/>
    </xf>
    <xf numFmtId="0" fontId="10" fillId="16" borderId="26" xfId="0" applyFont="1" applyFill="1" applyBorder="1" applyAlignment="1">
      <alignment horizontal="left"/>
    </xf>
    <xf numFmtId="0" fontId="10" fillId="11" borderId="47" xfId="0" applyFont="1" applyFill="1" applyBorder="1" applyAlignment="1">
      <alignment horizontal="center" vertical="center"/>
    </xf>
    <xf numFmtId="0" fontId="10" fillId="11" borderId="44" xfId="0" applyFont="1" applyFill="1" applyBorder="1" applyAlignment="1">
      <alignment horizontal="center" vertical="center"/>
    </xf>
    <xf numFmtId="0" fontId="10" fillId="11" borderId="48" xfId="0" applyFont="1" applyFill="1" applyBorder="1" applyAlignment="1">
      <alignment horizontal="center" vertical="center"/>
    </xf>
    <xf numFmtId="0" fontId="10" fillId="11" borderId="45" xfId="0" applyFont="1" applyFill="1" applyBorder="1" applyAlignment="1">
      <alignment horizontal="center" vertical="center"/>
    </xf>
    <xf numFmtId="0" fontId="28" fillId="16" borderId="123" xfId="0" applyFont="1" applyFill="1" applyBorder="1" applyAlignment="1">
      <alignment horizontal="left"/>
    </xf>
    <xf numFmtId="0" fontId="10" fillId="11" borderId="18" xfId="0" applyFont="1" applyFill="1" applyBorder="1" applyAlignment="1">
      <alignment horizontal="left" vertical="center"/>
    </xf>
    <xf numFmtId="0" fontId="10" fillId="11" borderId="20" xfId="0" applyFont="1" applyFill="1" applyBorder="1" applyAlignment="1">
      <alignment horizontal="left" vertical="center"/>
    </xf>
    <xf numFmtId="0" fontId="10" fillId="11" borderId="19" xfId="0" applyFont="1" applyFill="1" applyBorder="1" applyAlignment="1">
      <alignment horizontal="left" vertical="center"/>
    </xf>
    <xf numFmtId="0" fontId="8" fillId="11" borderId="90" xfId="0" applyFont="1" applyFill="1" applyBorder="1" applyAlignment="1">
      <alignment horizontal="left"/>
    </xf>
    <xf numFmtId="0" fontId="8" fillId="11" borderId="91" xfId="0" applyFont="1" applyFill="1" applyBorder="1" applyAlignment="1">
      <alignment horizontal="left"/>
    </xf>
    <xf numFmtId="0" fontId="8" fillId="11" borderId="92" xfId="0" applyFont="1" applyFill="1" applyBorder="1" applyAlignment="1">
      <alignment horizontal="left"/>
    </xf>
    <xf numFmtId="0" fontId="14" fillId="13" borderId="2" xfId="0" applyFont="1" applyFill="1" applyBorder="1" applyAlignment="1">
      <alignment horizontal="left" vertical="center"/>
    </xf>
    <xf numFmtId="0" fontId="14" fillId="13" borderId="3" xfId="0" applyFont="1" applyFill="1" applyBorder="1" applyAlignment="1">
      <alignment horizontal="left" vertical="center"/>
    </xf>
    <xf numFmtId="0" fontId="8" fillId="11" borderId="105" xfId="0" applyFont="1" applyFill="1" applyBorder="1" applyAlignment="1">
      <alignment horizontal="center"/>
    </xf>
    <xf numFmtId="0" fontId="10" fillId="16" borderId="30" xfId="0" applyFont="1" applyFill="1" applyBorder="1" applyAlignment="1">
      <alignment horizontal="center"/>
    </xf>
    <xf numFmtId="0" fontId="10" fillId="16" borderId="50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8" fillId="16" borderId="146" xfId="0" applyFont="1" applyFill="1" applyBorder="1" applyAlignment="1">
      <alignment horizontal="center"/>
    </xf>
    <xf numFmtId="0" fontId="8" fillId="16" borderId="143" xfId="0" applyFont="1" applyFill="1" applyBorder="1" applyAlignment="1">
      <alignment horizontal="center"/>
    </xf>
    <xf numFmtId="0" fontId="8" fillId="16" borderId="144" xfId="0" applyFont="1" applyFill="1" applyBorder="1" applyAlignment="1">
      <alignment horizontal="center"/>
    </xf>
    <xf numFmtId="0" fontId="8" fillId="16" borderId="145" xfId="0" applyFont="1" applyFill="1" applyBorder="1" applyAlignment="1">
      <alignment horizontal="center"/>
    </xf>
    <xf numFmtId="0" fontId="8" fillId="11" borderId="90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10" fillId="16" borderId="13" xfId="0" applyFont="1" applyFill="1" applyBorder="1" applyAlignment="1">
      <alignment horizontal="left" wrapText="1"/>
    </xf>
    <xf numFmtId="0" fontId="26" fillId="26" borderId="14" xfId="0" applyFont="1" applyFill="1" applyBorder="1" applyAlignment="1">
      <alignment horizontal="center"/>
    </xf>
    <xf numFmtId="0" fontId="26" fillId="26" borderId="61" xfId="0" applyFont="1" applyFill="1" applyBorder="1" applyAlignment="1">
      <alignment horizontal="center"/>
    </xf>
    <xf numFmtId="0" fontId="8" fillId="9" borderId="3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11" borderId="146" xfId="0" applyFont="1" applyFill="1" applyBorder="1" applyAlignment="1">
      <alignment horizontal="center"/>
    </xf>
    <xf numFmtId="0" fontId="8" fillId="11" borderId="40" xfId="0" applyFont="1" applyFill="1" applyBorder="1" applyAlignment="1">
      <alignment horizontal="center" vertical="center"/>
    </xf>
    <xf numFmtId="0" fontId="8" fillId="11" borderId="41" xfId="0" applyFont="1" applyFill="1" applyBorder="1" applyAlignment="1">
      <alignment horizontal="center" vertical="center"/>
    </xf>
    <xf numFmtId="0" fontId="8" fillId="11" borderId="42" xfId="0" applyFont="1" applyFill="1" applyBorder="1" applyAlignment="1">
      <alignment horizontal="center" vertical="center"/>
    </xf>
    <xf numFmtId="0" fontId="8" fillId="11" borderId="40" xfId="0" applyFont="1" applyFill="1" applyBorder="1" applyAlignment="1">
      <alignment horizontal="left" vertical="center"/>
    </xf>
    <xf numFmtId="0" fontId="8" fillId="11" borderId="41" xfId="0" applyFont="1" applyFill="1" applyBorder="1" applyAlignment="1">
      <alignment horizontal="left" vertical="center"/>
    </xf>
    <xf numFmtId="0" fontId="8" fillId="11" borderId="42" xfId="0" applyFont="1" applyFill="1" applyBorder="1" applyAlignment="1">
      <alignment horizontal="left" vertical="center"/>
    </xf>
    <xf numFmtId="0" fontId="8" fillId="16" borderId="18" xfId="0" applyFont="1" applyFill="1" applyBorder="1" applyAlignment="1">
      <alignment horizontal="center" vertical="center"/>
    </xf>
    <xf numFmtId="0" fontId="8" fillId="16" borderId="20" xfId="0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8" fillId="16" borderId="10" xfId="0" applyFont="1" applyFill="1" applyBorder="1" applyAlignment="1">
      <alignment horizontal="left" vertical="top"/>
    </xf>
    <xf numFmtId="0" fontId="8" fillId="16" borderId="11" xfId="0" applyFont="1" applyFill="1" applyBorder="1" applyAlignment="1">
      <alignment horizontal="left" vertical="top"/>
    </xf>
    <xf numFmtId="0" fontId="8" fillId="16" borderId="12" xfId="0" applyFont="1" applyFill="1" applyBorder="1" applyAlignment="1">
      <alignment horizontal="left" vertical="top"/>
    </xf>
    <xf numFmtId="0" fontId="13" fillId="16" borderId="18" xfId="0" applyFont="1" applyFill="1" applyBorder="1" applyAlignment="1">
      <alignment horizontal="left"/>
    </xf>
    <xf numFmtId="0" fontId="13" fillId="16" borderId="20" xfId="0" applyFont="1" applyFill="1" applyBorder="1" applyAlignment="1">
      <alignment horizontal="left"/>
    </xf>
    <xf numFmtId="0" fontId="13" fillId="16" borderId="19" xfId="0" applyFont="1" applyFill="1" applyBorder="1" applyAlignment="1">
      <alignment horizontal="left"/>
    </xf>
    <xf numFmtId="0" fontId="8" fillId="11" borderId="143" xfId="0" applyFont="1" applyFill="1" applyBorder="1" applyAlignment="1">
      <alignment horizontal="center"/>
    </xf>
    <xf numFmtId="0" fontId="8" fillId="11" borderId="144" xfId="0" applyFont="1" applyFill="1" applyBorder="1" applyAlignment="1">
      <alignment horizontal="center"/>
    </xf>
    <xf numFmtId="0" fontId="8" fillId="11" borderId="145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center" vertical="center"/>
    </xf>
    <xf numFmtId="0" fontId="10" fillId="16" borderId="20" xfId="0" applyFont="1" applyFill="1" applyBorder="1" applyAlignment="1">
      <alignment horizontal="center" vertical="center"/>
    </xf>
    <xf numFmtId="0" fontId="10" fillId="16" borderId="19" xfId="0" applyFont="1" applyFill="1" applyBorder="1" applyAlignment="1">
      <alignment horizontal="center" vertical="center"/>
    </xf>
    <xf numFmtId="0" fontId="8" fillId="22" borderId="47" xfId="0" applyFont="1" applyFill="1" applyBorder="1" applyAlignment="1">
      <alignment horizontal="center"/>
    </xf>
    <xf numFmtId="0" fontId="8" fillId="11" borderId="99" xfId="0" applyFont="1" applyFill="1" applyBorder="1" applyAlignment="1">
      <alignment horizontal="center"/>
    </xf>
    <xf numFmtId="0" fontId="8" fillId="11" borderId="147" xfId="0" applyFont="1" applyFill="1" applyBorder="1" applyAlignment="1">
      <alignment horizontal="left"/>
    </xf>
    <xf numFmtId="0" fontId="8" fillId="11" borderId="148" xfId="0" applyFont="1" applyFill="1" applyBorder="1" applyAlignment="1">
      <alignment horizontal="left"/>
    </xf>
    <xf numFmtId="0" fontId="8" fillId="11" borderId="149" xfId="0" applyFont="1" applyFill="1" applyBorder="1" applyAlignment="1">
      <alignment horizontal="left"/>
    </xf>
    <xf numFmtId="0" fontId="10" fillId="16" borderId="48" xfId="0" applyFont="1" applyFill="1" applyBorder="1" applyAlignment="1">
      <alignment horizontal="center"/>
    </xf>
    <xf numFmtId="0" fontId="10" fillId="16" borderId="62" xfId="0" applyFont="1" applyFill="1" applyBorder="1" applyAlignment="1">
      <alignment horizontal="center"/>
    </xf>
    <xf numFmtId="0" fontId="10" fillId="16" borderId="30" xfId="0" applyFont="1" applyFill="1" applyBorder="1" applyAlignment="1">
      <alignment horizontal="left"/>
    </xf>
    <xf numFmtId="0" fontId="10" fillId="16" borderId="50" xfId="0" applyFont="1" applyFill="1" applyBorder="1" applyAlignment="1">
      <alignment horizontal="left"/>
    </xf>
    <xf numFmtId="0" fontId="10" fillId="16" borderId="31" xfId="0" applyFont="1" applyFill="1" applyBorder="1" applyAlignment="1">
      <alignment horizontal="left"/>
    </xf>
    <xf numFmtId="0" fontId="8" fillId="16" borderId="81" xfId="0" applyFont="1" applyFill="1" applyBorder="1" applyAlignment="1">
      <alignment horizontal="center"/>
    </xf>
    <xf numFmtId="0" fontId="8" fillId="11" borderId="104" xfId="0" applyFont="1" applyFill="1" applyBorder="1" applyAlignment="1">
      <alignment horizontal="left"/>
    </xf>
    <xf numFmtId="0" fontId="10" fillId="16" borderId="10" xfId="0" applyFont="1" applyFill="1" applyBorder="1" applyAlignment="1">
      <alignment vertical="center"/>
    </xf>
    <xf numFmtId="0" fontId="10" fillId="16" borderId="11" xfId="0" applyFont="1" applyFill="1" applyBorder="1" applyAlignment="1">
      <alignment vertical="center"/>
    </xf>
    <xf numFmtId="0" fontId="10" fillId="16" borderId="12" xfId="0" applyFont="1" applyFill="1" applyBorder="1" applyAlignment="1">
      <alignment vertical="center"/>
    </xf>
    <xf numFmtId="0" fontId="8" fillId="3" borderId="20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10" fillId="16" borderId="40" xfId="0" applyFont="1" applyFill="1" applyBorder="1" applyAlignment="1">
      <alignment horizontal="center" vertical="center"/>
    </xf>
    <xf numFmtId="0" fontId="10" fillId="16" borderId="41" xfId="0" applyFont="1" applyFill="1" applyBorder="1" applyAlignment="1">
      <alignment horizontal="center" vertical="center"/>
    </xf>
    <xf numFmtId="0" fontId="10" fillId="16" borderId="42" xfId="0" applyFont="1" applyFill="1" applyBorder="1" applyAlignment="1">
      <alignment horizontal="center" vertical="center"/>
    </xf>
    <xf numFmtId="0" fontId="14" fillId="13" borderId="27" xfId="0" applyFont="1" applyFill="1" applyBorder="1" applyAlignment="1">
      <alignment horizontal="center" vertical="center"/>
    </xf>
    <xf numFmtId="0" fontId="14" fillId="13" borderId="29" xfId="0" applyFont="1" applyFill="1" applyBorder="1" applyAlignment="1">
      <alignment horizontal="center" vertical="center"/>
    </xf>
    <xf numFmtId="0" fontId="8" fillId="16" borderId="128" xfId="0" applyFont="1" applyFill="1" applyBorder="1" applyAlignment="1">
      <alignment horizontal="center"/>
    </xf>
    <xf numFmtId="0" fontId="8" fillId="16" borderId="13" xfId="0" applyFont="1" applyFill="1" applyBorder="1"/>
    <xf numFmtId="0" fontId="8" fillId="16" borderId="14" xfId="0" applyFont="1" applyFill="1" applyBorder="1"/>
    <xf numFmtId="0" fontId="8" fillId="16" borderId="15" xfId="0" applyFont="1" applyFill="1" applyBorder="1"/>
    <xf numFmtId="0" fontId="14" fillId="13" borderId="28" xfId="0" applyFont="1" applyFill="1" applyBorder="1" applyAlignment="1">
      <alignment horizontal="center" vertical="center"/>
    </xf>
    <xf numFmtId="0" fontId="10" fillId="11" borderId="59" xfId="0" applyFont="1" applyFill="1" applyBorder="1" applyAlignment="1">
      <alignment horizontal="center" vertical="center"/>
    </xf>
    <xf numFmtId="0" fontId="10" fillId="11" borderId="60" xfId="0" applyFont="1" applyFill="1" applyBorder="1" applyAlignment="1">
      <alignment horizontal="center" vertical="center"/>
    </xf>
    <xf numFmtId="0" fontId="26" fillId="23" borderId="20" xfId="0" applyFont="1" applyFill="1" applyBorder="1" applyAlignment="1">
      <alignment horizontal="center"/>
    </xf>
    <xf numFmtId="0" fontId="26" fillId="23" borderId="63" xfId="0" applyFont="1" applyFill="1" applyBorder="1" applyAlignment="1">
      <alignment horizontal="center"/>
    </xf>
    <xf numFmtId="0" fontId="8" fillId="20" borderId="73" xfId="0" applyFont="1" applyFill="1" applyBorder="1" applyAlignment="1">
      <alignment horizontal="center"/>
    </xf>
    <xf numFmtId="0" fontId="8" fillId="20" borderId="15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8" fillId="9" borderId="0" xfId="0" applyFont="1" applyFill="1" applyAlignment="1">
      <alignment horizontal="left"/>
    </xf>
    <xf numFmtId="0" fontId="8" fillId="9" borderId="0" xfId="0" applyFont="1" applyFill="1" applyAlignment="1">
      <alignment horizontal="center"/>
    </xf>
    <xf numFmtId="0" fontId="8" fillId="9" borderId="47" xfId="0" applyFont="1" applyFill="1" applyBorder="1" applyAlignment="1">
      <alignment horizontal="center" vertical="center"/>
    </xf>
    <xf numFmtId="0" fontId="8" fillId="9" borderId="44" xfId="0" applyFont="1" applyFill="1" applyBorder="1" applyAlignment="1">
      <alignment horizontal="center" vertical="center"/>
    </xf>
    <xf numFmtId="0" fontId="22" fillId="16" borderId="8" xfId="0" applyFont="1" applyFill="1" applyBorder="1" applyAlignment="1">
      <alignment horizontal="center" vertical="center"/>
    </xf>
    <xf numFmtId="0" fontId="22" fillId="16" borderId="17" xfId="0" applyFont="1" applyFill="1" applyBorder="1" applyAlignment="1">
      <alignment horizontal="center" vertical="center"/>
    </xf>
    <xf numFmtId="0" fontId="22" fillId="16" borderId="21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left" vertical="center"/>
    </xf>
    <xf numFmtId="0" fontId="10" fillId="16" borderId="41" xfId="0" applyFont="1" applyFill="1" applyBorder="1" applyAlignment="1">
      <alignment horizontal="left" vertical="center"/>
    </xf>
    <xf numFmtId="0" fontId="10" fillId="16" borderId="42" xfId="0" applyFont="1" applyFill="1" applyBorder="1" applyAlignment="1">
      <alignment horizontal="left" vertical="center"/>
    </xf>
    <xf numFmtId="0" fontId="10" fillId="10" borderId="47" xfId="0" applyFont="1" applyFill="1" applyBorder="1" applyAlignment="1">
      <alignment horizontal="center" vertical="center"/>
    </xf>
    <xf numFmtId="0" fontId="10" fillId="10" borderId="44" xfId="0" applyFont="1" applyFill="1" applyBorder="1" applyAlignment="1">
      <alignment horizontal="center" vertical="center"/>
    </xf>
    <xf numFmtId="0" fontId="10" fillId="10" borderId="48" xfId="0" applyFont="1" applyFill="1" applyBorder="1" applyAlignment="1">
      <alignment horizontal="center" vertical="center"/>
    </xf>
    <xf numFmtId="0" fontId="10" fillId="10" borderId="45" xfId="0" applyFont="1" applyFill="1" applyBorder="1" applyAlignment="1">
      <alignment horizontal="center" vertical="center"/>
    </xf>
    <xf numFmtId="0" fontId="10" fillId="10" borderId="49" xfId="0" applyFont="1" applyFill="1" applyBorder="1" applyAlignment="1">
      <alignment horizontal="center" vertical="center"/>
    </xf>
    <xf numFmtId="0" fontId="10" fillId="10" borderId="46" xfId="0" applyFont="1" applyFill="1" applyBorder="1" applyAlignment="1">
      <alignment horizontal="center" vertical="center"/>
    </xf>
    <xf numFmtId="0" fontId="22" fillId="11" borderId="8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0" fontId="22" fillId="11" borderId="21" xfId="0" applyFont="1" applyFill="1" applyBorder="1" applyAlignment="1">
      <alignment horizontal="center" vertical="center"/>
    </xf>
    <xf numFmtId="0" fontId="8" fillId="11" borderId="70" xfId="0" applyFont="1" applyFill="1" applyBorder="1" applyAlignment="1">
      <alignment horizontal="left"/>
    </xf>
    <xf numFmtId="0" fontId="9" fillId="16" borderId="48" xfId="0" applyFont="1" applyFill="1" applyBorder="1" applyAlignment="1">
      <alignment horizontal="center"/>
    </xf>
    <xf numFmtId="0" fontId="9" fillId="16" borderId="45" xfId="0" applyFont="1" applyFill="1" applyBorder="1" applyAlignment="1">
      <alignment horizontal="center"/>
    </xf>
    <xf numFmtId="0" fontId="8" fillId="16" borderId="120" xfId="0" applyFont="1" applyFill="1" applyBorder="1" applyAlignment="1">
      <alignment horizontal="center"/>
    </xf>
    <xf numFmtId="0" fontId="10" fillId="16" borderId="47" xfId="0" applyFont="1" applyFill="1" applyBorder="1" applyAlignment="1">
      <alignment horizontal="center"/>
    </xf>
    <xf numFmtId="0" fontId="10" fillId="16" borderId="44" xfId="0" applyFont="1" applyFill="1" applyBorder="1" applyAlignment="1">
      <alignment horizontal="center"/>
    </xf>
    <xf numFmtId="0" fontId="6" fillId="16" borderId="48" xfId="0" applyFont="1" applyFill="1" applyBorder="1" applyAlignment="1">
      <alignment horizontal="center"/>
    </xf>
    <xf numFmtId="0" fontId="6" fillId="16" borderId="45" xfId="0" applyFont="1" applyFill="1" applyBorder="1" applyAlignment="1">
      <alignment horizontal="center"/>
    </xf>
    <xf numFmtId="0" fontId="10" fillId="10" borderId="59" xfId="0" applyFont="1" applyFill="1" applyBorder="1" applyAlignment="1">
      <alignment horizontal="center" vertical="center"/>
    </xf>
    <xf numFmtId="0" fontId="10" fillId="10" borderId="60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left" vertical="top"/>
    </xf>
    <xf numFmtId="0" fontId="10" fillId="11" borderId="11" xfId="0" applyFont="1" applyFill="1" applyBorder="1" applyAlignment="1">
      <alignment horizontal="left" vertical="top"/>
    </xf>
    <xf numFmtId="0" fontId="10" fillId="11" borderId="12" xfId="0" applyFont="1" applyFill="1" applyBorder="1" applyAlignment="1">
      <alignment horizontal="left" vertical="top"/>
    </xf>
    <xf numFmtId="0" fontId="10" fillId="10" borderId="56" xfId="0" applyFont="1" applyFill="1" applyBorder="1" applyAlignment="1">
      <alignment horizontal="center" vertical="center"/>
    </xf>
    <xf numFmtId="0" fontId="10" fillId="10" borderId="51" xfId="0" applyFont="1" applyFill="1" applyBorder="1" applyAlignment="1">
      <alignment horizontal="center" vertical="center"/>
    </xf>
    <xf numFmtId="0" fontId="22" fillId="16" borderId="22" xfId="0" applyFont="1" applyFill="1" applyBorder="1" applyAlignment="1">
      <alignment horizontal="center" vertical="center"/>
    </xf>
    <xf numFmtId="0" fontId="22" fillId="16" borderId="25" xfId="0" applyFont="1" applyFill="1" applyBorder="1" applyAlignment="1">
      <alignment horizontal="center" vertical="center"/>
    </xf>
    <xf numFmtId="0" fontId="22" fillId="16" borderId="27" xfId="0" applyFont="1" applyFill="1" applyBorder="1" applyAlignment="1">
      <alignment horizontal="center" vertical="center"/>
    </xf>
    <xf numFmtId="0" fontId="10" fillId="16" borderId="109" xfId="0" applyFont="1" applyFill="1" applyBorder="1" applyAlignment="1">
      <alignment horizontal="center"/>
    </xf>
    <xf numFmtId="0" fontId="10" fillId="16" borderId="110" xfId="0" applyFont="1" applyFill="1" applyBorder="1" applyAlignment="1">
      <alignment horizontal="center"/>
    </xf>
    <xf numFmtId="0" fontId="10" fillId="16" borderId="56" xfId="0" applyFont="1" applyFill="1" applyBorder="1" applyAlignment="1">
      <alignment horizontal="center"/>
    </xf>
    <xf numFmtId="0" fontId="10" fillId="16" borderId="51" xfId="0" applyFont="1" applyFill="1" applyBorder="1" applyAlignment="1">
      <alignment horizontal="center"/>
    </xf>
    <xf numFmtId="0" fontId="10" fillId="16" borderId="49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0" fillId="11" borderId="28" xfId="0" applyFont="1" applyFill="1" applyBorder="1" applyAlignment="1">
      <alignment horizontal="center"/>
    </xf>
    <xf numFmtId="0" fontId="10" fillId="11" borderId="29" xfId="0" applyFont="1" applyFill="1" applyBorder="1" applyAlignment="1">
      <alignment horizontal="center"/>
    </xf>
    <xf numFmtId="0" fontId="10" fillId="11" borderId="49" xfId="0" applyFont="1" applyFill="1" applyBorder="1" applyAlignment="1">
      <alignment horizontal="center"/>
    </xf>
    <xf numFmtId="0" fontId="10" fillId="11" borderId="46" xfId="0" applyFont="1" applyFill="1" applyBorder="1" applyAlignment="1">
      <alignment horizontal="center"/>
    </xf>
    <xf numFmtId="0" fontId="10" fillId="11" borderId="30" xfId="0" applyFont="1" applyFill="1" applyBorder="1" applyAlignment="1">
      <alignment horizontal="left" vertical="center"/>
    </xf>
    <xf numFmtId="0" fontId="10" fillId="11" borderId="50" xfId="0" applyFont="1" applyFill="1" applyBorder="1" applyAlignment="1">
      <alignment horizontal="left" vertical="center"/>
    </xf>
    <xf numFmtId="0" fontId="10" fillId="11" borderId="31" xfId="0" applyFont="1" applyFill="1" applyBorder="1" applyAlignment="1">
      <alignment horizontal="left" vertical="center"/>
    </xf>
    <xf numFmtId="0" fontId="10" fillId="16" borderId="13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left" vertical="center"/>
    </xf>
    <xf numFmtId="0" fontId="10" fillId="16" borderId="15" xfId="0" applyFont="1" applyFill="1" applyBorder="1" applyAlignment="1">
      <alignment horizontal="left" vertical="center"/>
    </xf>
    <xf numFmtId="0" fontId="10" fillId="10" borderId="52" xfId="0" applyFont="1" applyFill="1" applyBorder="1" applyAlignment="1">
      <alignment horizontal="center" vertical="center"/>
    </xf>
    <xf numFmtId="0" fontId="10" fillId="10" borderId="53" xfId="0" applyFont="1" applyFill="1" applyBorder="1" applyAlignment="1">
      <alignment horizontal="center" vertical="center"/>
    </xf>
    <xf numFmtId="0" fontId="10" fillId="10" borderId="57" xfId="0" applyFont="1" applyFill="1" applyBorder="1" applyAlignment="1">
      <alignment horizontal="center" vertical="center"/>
    </xf>
    <xf numFmtId="0" fontId="10" fillId="10" borderId="58" xfId="0" applyFont="1" applyFill="1" applyBorder="1" applyAlignment="1">
      <alignment horizontal="center" vertical="center"/>
    </xf>
    <xf numFmtId="0" fontId="10" fillId="16" borderId="67" xfId="0" applyFont="1" applyFill="1" applyBorder="1" applyAlignment="1">
      <alignment horizontal="center"/>
    </xf>
    <xf numFmtId="0" fontId="10" fillId="11" borderId="48" xfId="0" applyFont="1" applyFill="1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3" fillId="16" borderId="18" xfId="0" applyFont="1" applyFill="1" applyBorder="1" applyAlignment="1">
      <alignment horizontal="left"/>
    </xf>
    <xf numFmtId="0" fontId="23" fillId="16" borderId="20" xfId="0" applyFont="1" applyFill="1" applyBorder="1" applyAlignment="1">
      <alignment horizontal="left"/>
    </xf>
    <xf numFmtId="0" fontId="23" fillId="16" borderId="19" xfId="0" applyFont="1" applyFill="1" applyBorder="1" applyAlignment="1">
      <alignment horizontal="left"/>
    </xf>
    <xf numFmtId="0" fontId="10" fillId="10" borderId="54" xfId="0" applyFont="1" applyFill="1" applyBorder="1" applyAlignment="1">
      <alignment horizontal="center" vertical="center"/>
    </xf>
    <xf numFmtId="0" fontId="10" fillId="10" borderId="55" xfId="0" applyFont="1" applyFill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21" fillId="11" borderId="21" xfId="0" applyFont="1" applyFill="1" applyBorder="1" applyAlignment="1">
      <alignment horizontal="center" vertical="center"/>
    </xf>
    <xf numFmtId="0" fontId="21" fillId="16" borderId="8" xfId="0" applyFont="1" applyFill="1" applyBorder="1" applyAlignment="1">
      <alignment horizontal="center" vertical="center"/>
    </xf>
    <xf numFmtId="0" fontId="21" fillId="16" borderId="17" xfId="0" applyFont="1" applyFill="1" applyBorder="1" applyAlignment="1">
      <alignment horizontal="center" vertical="center"/>
    </xf>
    <xf numFmtId="0" fontId="21" fillId="16" borderId="21" xfId="0" applyFont="1" applyFill="1" applyBorder="1" applyAlignment="1">
      <alignment horizontal="center" vertical="center"/>
    </xf>
    <xf numFmtId="0" fontId="10" fillId="16" borderId="47" xfId="0" applyFont="1" applyFill="1" applyBorder="1" applyAlignment="1">
      <alignment horizontal="center" vertical="center"/>
    </xf>
    <xf numFmtId="0" fontId="10" fillId="16" borderId="44" xfId="0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</cellXfs>
  <cellStyles count="1">
    <cellStyle name="Normal" xfId="0" builtinId="0"/>
  </cellStyles>
  <dxfs count="359"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CCFFF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CCFFFF"/>
        </patternFill>
      </fill>
    </dxf>
    <dxf>
      <fill>
        <patternFill>
          <bgColor rgb="FFFFFFCC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FFCC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FFFCC"/>
      <color rgb="FFC1FFFF"/>
      <color rgb="FFA3FFFF"/>
      <color rgb="FF33CCFF"/>
      <color rgb="FF9FD8FB"/>
      <color rgb="FFFF9F85"/>
      <color rgb="FF66FF33"/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2400" b="1">
                <a:solidFill>
                  <a:schemeClr val="tx1"/>
                </a:solidFill>
              </a:rPr>
              <a:t>Alojados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1CC-4D41-947F-08DBC8A937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'BLOCOS ALOJAMENTO'!$V$414:$V$422</c:f>
              <c:strCache>
                <c:ptCount val="9"/>
                <c:pt idx="0">
                  <c:v>GEL</c:v>
                </c:pt>
                <c:pt idx="1">
                  <c:v>CONSELMAR</c:v>
                </c:pt>
                <c:pt idx="2">
                  <c:v>NUTRIVALE</c:v>
                </c:pt>
                <c:pt idx="3">
                  <c:v>DMT</c:v>
                </c:pt>
                <c:pt idx="4">
                  <c:v>CAF</c:v>
                </c:pt>
                <c:pt idx="5">
                  <c:v>LUPATINI</c:v>
                </c:pt>
                <c:pt idx="6">
                  <c:v>BRASTRAN</c:v>
                </c:pt>
                <c:pt idx="7">
                  <c:v>SAVENHAGO TRANS.	</c:v>
                </c:pt>
                <c:pt idx="8">
                  <c:v>DISPONÍVEL </c:v>
                </c:pt>
              </c:strCache>
            </c:strRef>
          </c:cat>
          <c:val>
            <c:numRef>
              <c:f>'BLOCOS ALOJAMENTO'!$W$414:$W$422</c:f>
              <c:numCache>
                <c:formatCode>General</c:formatCode>
                <c:ptCount val="9"/>
                <c:pt idx="0">
                  <c:v>201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4-4E27-B0B2-ECB715F79BF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'BLOCOS ALOJAMENTO'!$V$414:$V$422</c:f>
              <c:strCache>
                <c:ptCount val="9"/>
                <c:pt idx="0">
                  <c:v>GEL</c:v>
                </c:pt>
                <c:pt idx="1">
                  <c:v>CONSELMAR</c:v>
                </c:pt>
                <c:pt idx="2">
                  <c:v>NUTRIVALE</c:v>
                </c:pt>
                <c:pt idx="3">
                  <c:v>DMT</c:v>
                </c:pt>
                <c:pt idx="4">
                  <c:v>CAF</c:v>
                </c:pt>
                <c:pt idx="5">
                  <c:v>LUPATINI</c:v>
                </c:pt>
                <c:pt idx="6">
                  <c:v>BRASTRAN</c:v>
                </c:pt>
                <c:pt idx="7">
                  <c:v>SAVENHAGO TRANS.	</c:v>
                </c:pt>
                <c:pt idx="8">
                  <c:v>DISPONÍVEL </c:v>
                </c:pt>
              </c:strCache>
            </c:strRef>
          </c:cat>
          <c:val>
            <c:numRef>
              <c:f>'BLOCOS ALOJAMENTO'!$P$441:$P$448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F84-4E27-B0B2-ECB715F79B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1940593119"/>
        <c:axId val="1940600799"/>
      </c:barChart>
      <c:catAx>
        <c:axId val="194059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600799"/>
        <c:crosses val="autoZero"/>
        <c:auto val="1"/>
        <c:lblAlgn val="ctr"/>
        <c:lblOffset val="100"/>
        <c:noMultiLvlLbl val="0"/>
      </c:catAx>
      <c:valAx>
        <c:axId val="19406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5931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00000">
          <a:schemeClr val="bg1">
            <a:lumMod val="85000"/>
          </a:schemeClr>
        </a:gs>
        <a:gs pos="0">
          <a:schemeClr val="bg1">
            <a:lumMod val="9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221904</xdr:colOff>
      <xdr:row>239</xdr:row>
      <xdr:rowOff>58143</xdr:rowOff>
    </xdr:from>
    <xdr:ext cx="1924050" cy="188082"/>
    <xdr:pic>
      <xdr:nvPicPr>
        <xdr:cNvPr id="11" name="Imagem 10">
          <a:extLst>
            <a:ext uri="{FF2B5EF4-FFF2-40B4-BE49-F238E27FC236}">
              <a16:creationId xmlns:a16="http://schemas.microsoft.com/office/drawing/2014/main" id="{48891E7F-C1CA-4142-97D2-1A2B6EAE6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761" y="41397939"/>
          <a:ext cx="1924050" cy="188082"/>
        </a:xfrm>
        <a:prstGeom prst="rect">
          <a:avLst/>
        </a:prstGeom>
      </xdr:spPr>
    </xdr:pic>
    <xdr:clientData/>
  </xdr:oneCellAnchor>
  <xdr:twoCellAnchor>
    <xdr:from>
      <xdr:col>2</xdr:col>
      <xdr:colOff>55211</xdr:colOff>
      <xdr:row>404</xdr:row>
      <xdr:rowOff>106798</xdr:rowOff>
    </xdr:from>
    <xdr:to>
      <xdr:col>17</xdr:col>
      <xdr:colOff>26889</xdr:colOff>
      <xdr:row>438</xdr:row>
      <xdr:rowOff>157963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065FFB-E0A4-EEC4-2BD0-3CB1C155296E}"/>
            </a:ext>
            <a:ext uri="{147F2762-F138-4A5C-976F-8EAC2B608ADB}">
              <a16:predDERef xmlns:a16="http://schemas.microsoft.com/office/drawing/2014/main" pred="{48891E7F-C1CA-4142-97D2-1A2B6EAE6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187909</xdr:colOff>
      <xdr:row>80</xdr:row>
      <xdr:rowOff>57150</xdr:rowOff>
    </xdr:from>
    <xdr:to>
      <xdr:col>17</xdr:col>
      <xdr:colOff>1</xdr:colOff>
      <xdr:row>80</xdr:row>
      <xdr:rowOff>278622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0032367-4772-4AA8-9DA4-B0B0611AB867}"/>
            </a:ext>
            <a:ext uri="{147F2762-F138-4A5C-976F-8EAC2B608ADB}">
              <a16:predDERef xmlns:a16="http://schemas.microsoft.com/office/drawing/2014/main" pred="{1A065FFB-E0A4-EEC4-2BD0-3CB1C15529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6" t="37404" r="21868" b="41146"/>
        <a:stretch>
          <a:fillRect/>
        </a:stretch>
      </xdr:blipFill>
      <xdr:spPr>
        <a:xfrm>
          <a:off x="11546633" y="14415926"/>
          <a:ext cx="2002195" cy="221472"/>
        </a:xfrm>
        <a:prstGeom prst="rect">
          <a:avLst/>
        </a:prstGeom>
      </xdr:spPr>
    </xdr:pic>
    <xdr:clientData/>
  </xdr:twoCellAnchor>
  <xdr:twoCellAnchor editAs="oneCell">
    <xdr:from>
      <xdr:col>1</xdr:col>
      <xdr:colOff>166672</xdr:colOff>
      <xdr:row>154</xdr:row>
      <xdr:rowOff>174950</xdr:rowOff>
    </xdr:from>
    <xdr:to>
      <xdr:col>4</xdr:col>
      <xdr:colOff>1866</xdr:colOff>
      <xdr:row>157</xdr:row>
      <xdr:rowOff>71276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2458159-13A8-493F-8F86-573ECB9F4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6" t="37404" r="21868" b="41146"/>
        <a:stretch>
          <a:fillRect/>
        </a:stretch>
      </xdr:blipFill>
      <xdr:spPr>
        <a:xfrm>
          <a:off x="529529" y="27745613"/>
          <a:ext cx="2057694" cy="311020"/>
        </a:xfrm>
        <a:prstGeom prst="rect">
          <a:avLst/>
        </a:prstGeom>
      </xdr:spPr>
    </xdr:pic>
    <xdr:clientData/>
  </xdr:twoCellAnchor>
  <xdr:twoCellAnchor editAs="oneCell">
    <xdr:from>
      <xdr:col>14</xdr:col>
      <xdr:colOff>92328</xdr:colOff>
      <xdr:row>239</xdr:row>
      <xdr:rowOff>34962</xdr:rowOff>
    </xdr:from>
    <xdr:to>
      <xdr:col>16</xdr:col>
      <xdr:colOff>753938</xdr:colOff>
      <xdr:row>240</xdr:row>
      <xdr:rowOff>116634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961EE99-938A-4227-87BA-E91984363830}"/>
            </a:ext>
            <a:ext uri="{147F2762-F138-4A5C-976F-8EAC2B608ADB}">
              <a16:predDERef xmlns:a16="http://schemas.microsoft.com/office/drawing/2014/main" pred="{D2458159-13A8-493F-8F86-573ECB9F4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1052" y="40130676"/>
          <a:ext cx="2061202" cy="21126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313</xdr:row>
      <xdr:rowOff>123825</xdr:rowOff>
    </xdr:from>
    <xdr:to>
      <xdr:col>3</xdr:col>
      <xdr:colOff>873815</xdr:colOff>
      <xdr:row>315</xdr:row>
      <xdr:rowOff>152401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F0535B-CF5A-4028-ADFB-6FA667C10AD6}"/>
            </a:ext>
            <a:ext uri="{147F2762-F138-4A5C-976F-8EAC2B608ADB}">
              <a16:predDERef xmlns:a16="http://schemas.microsoft.com/office/drawing/2014/main" pred="{1961EE99-938A-4227-87BA-E91984363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58616850"/>
          <a:ext cx="1978715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</xdr:row>
      <xdr:rowOff>66675</xdr:rowOff>
    </xdr:from>
    <xdr:to>
      <xdr:col>3</xdr:col>
      <xdr:colOff>914400</xdr:colOff>
      <xdr:row>8</xdr:row>
      <xdr:rowOff>209550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6DE9E02-58EC-4012-BAEA-C197DACDCC57}"/>
            </a:ext>
            <a:ext uri="{147F2762-F138-4A5C-976F-8EAC2B608ADB}">
              <a16:predDERef xmlns:a16="http://schemas.microsoft.com/office/drawing/2014/main" pred="{F71D34AB-9B29-4BE0-B9ED-84605601C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0625"/>
          <a:ext cx="2028825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126871</xdr:colOff>
      <xdr:row>80</xdr:row>
      <xdr:rowOff>30843</xdr:rowOff>
    </xdr:from>
    <xdr:to>
      <xdr:col>3</xdr:col>
      <xdr:colOff>841246</xdr:colOff>
      <xdr:row>80</xdr:row>
      <xdr:rowOff>259183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55F1C00-8BE2-4023-A026-A72ABA2B6066}"/>
            </a:ext>
            <a:ext uri="{147F2762-F138-4A5C-976F-8EAC2B608ADB}">
              <a16:predDERef xmlns:a16="http://schemas.microsoft.com/office/drawing/2014/main" pred="{66DE9E02-58EC-4012-BAEA-C197DACDC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6" t="37404" r="21868" b="41146"/>
        <a:stretch>
          <a:fillRect/>
        </a:stretch>
      </xdr:blipFill>
      <xdr:spPr>
        <a:xfrm>
          <a:off x="489728" y="14389619"/>
          <a:ext cx="1971416" cy="228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6</xdr:row>
      <xdr:rowOff>57150</xdr:rowOff>
    </xdr:from>
    <xdr:to>
      <xdr:col>16</xdr:col>
      <xdr:colOff>733426</xdr:colOff>
      <xdr:row>9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4AC7776-1A29-4F97-A0EB-3FDBAD97578C}"/>
            </a:ext>
            <a:ext uri="{147F2762-F138-4A5C-976F-8EAC2B608ADB}">
              <a16:predDERef xmlns:a16="http://schemas.microsoft.com/office/drawing/2014/main" pred="{F55F1C00-8BE2-4023-A026-A72ABA2B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0" y="1190625"/>
          <a:ext cx="1952626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107562</xdr:colOff>
      <xdr:row>155</xdr:row>
      <xdr:rowOff>16718</xdr:rowOff>
    </xdr:from>
    <xdr:to>
      <xdr:col>16</xdr:col>
      <xdr:colOff>698389</xdr:colOff>
      <xdr:row>157</xdr:row>
      <xdr:rowOff>97195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5C24A87-8BB4-41A9-BA5C-7303FAAE8295}"/>
            </a:ext>
            <a:ext uri="{147F2762-F138-4A5C-976F-8EAC2B608ADB}">
              <a16:predDERef xmlns:a16="http://schemas.microsoft.com/office/drawing/2014/main" pred="{84AC7776-1A29-4F97-A0EB-3FDBAD975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6286" y="27768810"/>
          <a:ext cx="1990419" cy="313742"/>
        </a:xfrm>
        <a:prstGeom prst="rect">
          <a:avLst/>
        </a:prstGeom>
      </xdr:spPr>
    </xdr:pic>
    <xdr:clientData/>
  </xdr:twoCellAnchor>
  <xdr:twoCellAnchor editAs="oneCell">
    <xdr:from>
      <xdr:col>13</xdr:col>
      <xdr:colOff>1009650</xdr:colOff>
      <xdr:row>313</xdr:row>
      <xdr:rowOff>28575</xdr:rowOff>
    </xdr:from>
    <xdr:to>
      <xdr:col>16</xdr:col>
      <xdr:colOff>2840</xdr:colOff>
      <xdr:row>315</xdr:row>
      <xdr:rowOff>174172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EC11C30-7A29-17AA-8F89-6A3B5E92F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350" y="58521600"/>
          <a:ext cx="1374440" cy="526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7257</xdr:colOff>
      <xdr:row>86</xdr:row>
      <xdr:rowOff>54701</xdr:rowOff>
    </xdr:from>
    <xdr:to>
      <xdr:col>16</xdr:col>
      <xdr:colOff>540238</xdr:colOff>
      <xdr:row>88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E481D5-2440-41DA-B01F-B2EED3A9F33A}"/>
            </a:ext>
            <a:ext uri="{147F2762-F138-4A5C-976F-8EAC2B608ADB}">
              <a16:predDERef xmlns:a16="http://schemas.microsoft.com/office/drawing/2014/main" pred="{0A7C6FA0-FC5B-494D-9DF4-BAD99ED94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6971" y="16027672"/>
          <a:ext cx="1870909" cy="47507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</xdr:row>
      <xdr:rowOff>76200</xdr:rowOff>
    </xdr:from>
    <xdr:to>
      <xdr:col>3</xdr:col>
      <xdr:colOff>533400</xdr:colOff>
      <xdr:row>8</xdr:row>
      <xdr:rowOff>133350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124A312-AB16-4742-8239-06475F517B0E}"/>
            </a:ext>
            <a:ext uri="{147F2762-F138-4A5C-976F-8EAC2B608ADB}">
              <a16:predDERef xmlns:a16="http://schemas.microsoft.com/office/drawing/2014/main" pred="{DFE481D5-2440-41DA-B01F-B2EED3A9F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162050"/>
          <a:ext cx="1714500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116115</xdr:colOff>
      <xdr:row>6</xdr:row>
      <xdr:rowOff>65314</xdr:rowOff>
    </xdr:from>
    <xdr:to>
      <xdr:col>16</xdr:col>
      <xdr:colOff>534053</xdr:colOff>
      <xdr:row>8</xdr:row>
      <xdr:rowOff>175159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A966588-4436-4CD3-A9FF-78284CC1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5829" y="1153885"/>
          <a:ext cx="1763486" cy="465083"/>
        </a:xfrm>
        <a:prstGeom prst="rect">
          <a:avLst/>
        </a:prstGeom>
      </xdr:spPr>
    </xdr:pic>
    <xdr:clientData/>
  </xdr:twoCellAnchor>
  <xdr:twoCellAnchor editAs="oneCell">
    <xdr:from>
      <xdr:col>14</xdr:col>
      <xdr:colOff>94343</xdr:colOff>
      <xdr:row>53</xdr:row>
      <xdr:rowOff>65314</xdr:rowOff>
    </xdr:from>
    <xdr:to>
      <xdr:col>16</xdr:col>
      <xdr:colOff>518312</xdr:colOff>
      <xdr:row>55</xdr:row>
      <xdr:rowOff>174535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B4510C5-3311-4B23-891F-3A5CBB7C0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4057" y="9811657"/>
          <a:ext cx="1761897" cy="478972"/>
        </a:xfrm>
        <a:prstGeom prst="rect">
          <a:avLst/>
        </a:prstGeom>
      </xdr:spPr>
    </xdr:pic>
    <xdr:clientData/>
  </xdr:twoCellAnchor>
  <xdr:twoCellAnchor editAs="oneCell">
    <xdr:from>
      <xdr:col>1</xdr:col>
      <xdr:colOff>123371</xdr:colOff>
      <xdr:row>53</xdr:row>
      <xdr:rowOff>87086</xdr:rowOff>
    </xdr:from>
    <xdr:to>
      <xdr:col>3</xdr:col>
      <xdr:colOff>589324</xdr:colOff>
      <xdr:row>55</xdr:row>
      <xdr:rowOff>173433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DFB3BA0-D428-4BBD-BE9C-DC7DB8D2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971" y="9833429"/>
          <a:ext cx="1761897" cy="469433"/>
        </a:xfrm>
        <a:prstGeom prst="rect">
          <a:avLst/>
        </a:prstGeom>
      </xdr:spPr>
    </xdr:pic>
    <xdr:clientData/>
  </xdr:twoCellAnchor>
  <xdr:twoCellAnchor editAs="oneCell">
    <xdr:from>
      <xdr:col>1</xdr:col>
      <xdr:colOff>24216</xdr:colOff>
      <xdr:row>86</xdr:row>
      <xdr:rowOff>71841</xdr:rowOff>
    </xdr:from>
    <xdr:to>
      <xdr:col>4</xdr:col>
      <xdr:colOff>1292</xdr:colOff>
      <xdr:row>88</xdr:row>
      <xdr:rowOff>119466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BF5CACA-7F67-4F05-BB0B-D4D9CD8645D3}"/>
            </a:ext>
            <a:ext uri="{147F2762-F138-4A5C-976F-8EAC2B608ADB}">
              <a16:predDERef xmlns:a16="http://schemas.microsoft.com/office/drawing/2014/main" pred="{BDFB3BA0-D428-4BBD-BE9C-DC7DB8D2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691" y="16296629"/>
          <a:ext cx="1857859" cy="4350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76200</xdr:rowOff>
    </xdr:from>
    <xdr:to>
      <xdr:col>1</xdr:col>
      <xdr:colOff>548640</xdr:colOff>
      <xdr:row>2</xdr:row>
      <xdr:rowOff>99060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" y="76200"/>
          <a:ext cx="1104900" cy="403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</xdr:colOff>
      <xdr:row>5</xdr:row>
      <xdr:rowOff>53340</xdr:rowOff>
    </xdr:from>
    <xdr:to>
      <xdr:col>3</xdr:col>
      <xdr:colOff>560916</xdr:colOff>
      <xdr:row>7</xdr:row>
      <xdr:rowOff>168824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0EDAFD-B9F0-4FDA-98F6-27477C8F9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427" y="974090"/>
          <a:ext cx="2100156" cy="475317"/>
        </a:xfrm>
        <a:prstGeom prst="rect">
          <a:avLst/>
        </a:prstGeom>
      </xdr:spPr>
    </xdr:pic>
    <xdr:clientData/>
  </xdr:twoCellAnchor>
  <xdr:twoCellAnchor editAs="oneCell">
    <xdr:from>
      <xdr:col>16</xdr:col>
      <xdr:colOff>275167</xdr:colOff>
      <xdr:row>5</xdr:row>
      <xdr:rowOff>42333</xdr:rowOff>
    </xdr:from>
    <xdr:to>
      <xdr:col>18</xdr:col>
      <xdr:colOff>318762</xdr:colOff>
      <xdr:row>7</xdr:row>
      <xdr:rowOff>158029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43B7A-DC0C-7292-2715-5C18AEA93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0" y="963083"/>
          <a:ext cx="1853345" cy="47552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9F75-450C-4776-A284-1CCB6DF2BF6F}">
  <sheetPr>
    <pageSetUpPr fitToPage="1"/>
  </sheetPr>
  <dimension ref="A1:AF479"/>
  <sheetViews>
    <sheetView showGridLines="0" tabSelected="1" topLeftCell="K389" zoomScale="98" zoomScaleNormal="98" zoomScaleSheetLayoutView="85" workbookViewId="0">
      <selection activeCell="Q185" sqref="Q185:U185"/>
    </sheetView>
  </sheetViews>
  <sheetFormatPr defaultColWidth="9.1796875" defaultRowHeight="14.5" x14ac:dyDescent="0.35"/>
  <cols>
    <col min="1" max="1" width="5.1796875" style="7" customWidth="1"/>
    <col min="2" max="2" width="10.81640625" style="7" bestFit="1" customWidth="1"/>
    <col min="3" max="3" width="7.1796875" style="7" customWidth="1"/>
    <col min="4" max="4" width="13.81640625" style="7" customWidth="1"/>
    <col min="5" max="5" width="3.54296875" style="7" customWidth="1"/>
    <col min="6" max="6" width="9.1796875" style="7"/>
    <col min="7" max="7" width="5.81640625" style="7" customWidth="1"/>
    <col min="8" max="8" width="24.453125" style="7" customWidth="1"/>
    <col min="9" max="9" width="18.1796875" style="7" customWidth="1"/>
    <col min="10" max="10" width="2.54296875" style="7" customWidth="1"/>
    <col min="11" max="11" width="13.81640625" style="7" customWidth="1"/>
    <col min="12" max="12" width="17.81640625" style="7" customWidth="1"/>
    <col min="13" max="13" width="14.54296875" style="7" customWidth="1"/>
    <col min="14" max="14" width="15.81640625" style="7" customWidth="1"/>
    <col min="15" max="15" width="10.81640625" style="7" bestFit="1" customWidth="1"/>
    <col min="16" max="16" width="9.1796875" style="7"/>
    <col min="17" max="17" width="11.1796875" style="7" bestFit="1" customWidth="1"/>
    <col min="18" max="18" width="9.1796875" style="7"/>
    <col min="19" max="19" width="9.1796875" style="7" customWidth="1"/>
    <col min="20" max="20" width="3.81640625" style="7" customWidth="1"/>
    <col min="21" max="21" width="9.1796875" style="7" customWidth="1"/>
    <col min="22" max="22" width="22.453125" style="7" customWidth="1"/>
    <col min="23" max="23" width="12" style="7" customWidth="1"/>
    <col min="24" max="24" width="1.81640625" style="7" customWidth="1"/>
    <col min="25" max="25" width="21.453125" style="7" customWidth="1"/>
    <col min="26" max="26" width="9.1796875" style="7"/>
    <col min="27" max="27" width="35.81640625" customWidth="1"/>
    <col min="28" max="29" width="19.54296875" customWidth="1"/>
    <col min="32" max="33" width="15.81640625" customWidth="1"/>
  </cols>
  <sheetData>
    <row r="1" spans="2:26" ht="15" thickBot="1" x14ac:dyDescent="0.4"/>
    <row r="2" spans="2:26" ht="15" customHeight="1" x14ac:dyDescent="0.35">
      <c r="C2" s="322" t="s">
        <v>0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4"/>
    </row>
    <row r="3" spans="2:26" ht="15" customHeight="1" x14ac:dyDescent="0.35">
      <c r="C3" s="325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7"/>
    </row>
    <row r="4" spans="2:26" ht="15.75" customHeight="1" thickBot="1" x14ac:dyDescent="0.4">
      <c r="C4" s="328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30"/>
    </row>
    <row r="5" spans="2:26" s="7" customFormat="1" x14ac:dyDescent="0.35">
      <c r="D5" s="71"/>
      <c r="E5"/>
    </row>
    <row r="6" spans="2:26" s="16" customFormat="1" ht="13" x14ac:dyDescent="0.3"/>
    <row r="7" spans="2:26" s="16" customFormat="1" ht="14" customHeight="1" x14ac:dyDescent="0.3">
      <c r="B7" s="645"/>
      <c r="C7" s="645"/>
      <c r="D7" s="645"/>
      <c r="E7" s="478" t="s">
        <v>1</v>
      </c>
      <c r="F7" s="479"/>
      <c r="G7" s="479"/>
      <c r="H7" s="479"/>
      <c r="I7" s="479"/>
      <c r="J7" s="479"/>
      <c r="K7" s="479"/>
      <c r="L7" s="479"/>
      <c r="M7" s="480"/>
      <c r="O7" s="469" t="s">
        <v>2</v>
      </c>
      <c r="P7" s="470"/>
      <c r="Q7" s="471"/>
      <c r="R7" s="487" t="s">
        <v>3</v>
      </c>
      <c r="S7" s="487"/>
      <c r="T7" s="487"/>
      <c r="U7" s="487"/>
      <c r="V7" s="487"/>
      <c r="W7" s="487"/>
      <c r="X7" s="487"/>
      <c r="Y7" s="487"/>
      <c r="Z7" s="487"/>
    </row>
    <row r="8" spans="2:26" s="16" customFormat="1" ht="14" customHeight="1" x14ac:dyDescent="0.3">
      <c r="B8" s="645"/>
      <c r="C8" s="645"/>
      <c r="D8" s="645"/>
      <c r="E8" s="481"/>
      <c r="F8" s="482"/>
      <c r="G8" s="482"/>
      <c r="H8" s="482"/>
      <c r="I8" s="482"/>
      <c r="J8" s="482"/>
      <c r="K8" s="482"/>
      <c r="L8" s="482"/>
      <c r="M8" s="483"/>
      <c r="O8" s="472"/>
      <c r="P8" s="473"/>
      <c r="Q8" s="474"/>
      <c r="R8" s="487"/>
      <c r="S8" s="487"/>
      <c r="T8" s="487"/>
      <c r="U8" s="487"/>
      <c r="V8" s="487"/>
      <c r="W8" s="487"/>
      <c r="X8" s="487"/>
      <c r="Y8" s="487"/>
      <c r="Z8" s="487"/>
    </row>
    <row r="9" spans="2:26" s="16" customFormat="1" ht="19.5" customHeight="1" x14ac:dyDescent="0.3">
      <c r="B9" s="645"/>
      <c r="C9" s="645"/>
      <c r="D9" s="645"/>
      <c r="E9" s="484"/>
      <c r="F9" s="485"/>
      <c r="G9" s="485"/>
      <c r="H9" s="485"/>
      <c r="I9" s="485"/>
      <c r="J9" s="485"/>
      <c r="K9" s="485"/>
      <c r="L9" s="485"/>
      <c r="M9" s="486"/>
      <c r="O9" s="475"/>
      <c r="P9" s="476"/>
      <c r="Q9" s="477"/>
      <c r="R9" s="487"/>
      <c r="S9" s="487"/>
      <c r="T9" s="487"/>
      <c r="U9" s="487"/>
      <c r="V9" s="487"/>
      <c r="W9" s="487"/>
      <c r="X9" s="487"/>
      <c r="Y9" s="487"/>
      <c r="Z9" s="487"/>
    </row>
    <row r="10" spans="2:26" s="16" customFormat="1" ht="16.5" customHeight="1" x14ac:dyDescent="0.35">
      <c r="B10" s="138" t="s">
        <v>4</v>
      </c>
      <c r="C10" s="138" t="s">
        <v>5</v>
      </c>
      <c r="D10" s="280" t="s">
        <v>6</v>
      </c>
      <c r="E10" s="281"/>
      <c r="F10" s="281"/>
      <c r="G10" s="281"/>
      <c r="H10" s="282"/>
      <c r="I10" s="281" t="s">
        <v>7</v>
      </c>
      <c r="J10" s="281"/>
      <c r="K10" s="282"/>
      <c r="L10" s="280" t="s">
        <v>8</v>
      </c>
      <c r="M10" s="282"/>
      <c r="N10" s="50"/>
      <c r="O10" s="138" t="s">
        <v>4</v>
      </c>
      <c r="P10" s="138" t="s">
        <v>5</v>
      </c>
      <c r="Q10" s="280" t="s">
        <v>6</v>
      </c>
      <c r="R10" s="281"/>
      <c r="S10" s="281"/>
      <c r="T10" s="281"/>
      <c r="U10" s="282"/>
      <c r="V10" s="280" t="s">
        <v>7</v>
      </c>
      <c r="W10" s="281"/>
      <c r="X10" s="282"/>
      <c r="Y10" s="280" t="s">
        <v>8</v>
      </c>
      <c r="Z10" s="282"/>
    </row>
    <row r="11" spans="2:26" s="16" customFormat="1" ht="14.15" customHeight="1" x14ac:dyDescent="0.35">
      <c r="B11" s="331">
        <v>2</v>
      </c>
      <c r="C11" s="11" t="s">
        <v>9</v>
      </c>
      <c r="D11" s="646"/>
      <c r="E11" s="647"/>
      <c r="F11" s="647"/>
      <c r="G11" s="647"/>
      <c r="H11" s="647"/>
      <c r="I11" s="668"/>
      <c r="J11" s="207"/>
      <c r="K11" s="598"/>
      <c r="L11" s="438"/>
      <c r="M11" s="247"/>
      <c r="O11" s="336">
        <v>1</v>
      </c>
      <c r="P11" s="11">
        <v>19788</v>
      </c>
      <c r="Q11" s="303" t="s">
        <v>10</v>
      </c>
      <c r="R11" s="304"/>
      <c r="S11" s="304"/>
      <c r="T11" s="304"/>
      <c r="U11" s="305"/>
      <c r="V11" s="206" t="s">
        <v>11</v>
      </c>
      <c r="W11" s="207"/>
      <c r="X11" s="208"/>
      <c r="Y11" s="341" t="s">
        <v>12</v>
      </c>
      <c r="Z11" s="340"/>
    </row>
    <row r="12" spans="2:26" s="16" customFormat="1" ht="14.15" customHeight="1" x14ac:dyDescent="0.35">
      <c r="B12" s="332"/>
      <c r="C12" s="13" t="s">
        <v>9</v>
      </c>
      <c r="D12" s="303"/>
      <c r="E12" s="304"/>
      <c r="F12" s="304"/>
      <c r="G12" s="304"/>
      <c r="H12" s="304"/>
      <c r="I12" s="387"/>
      <c r="J12" s="286"/>
      <c r="K12" s="388"/>
      <c r="L12" s="491"/>
      <c r="M12" s="284"/>
      <c r="O12" s="337"/>
      <c r="P12" s="13" t="s">
        <v>9</v>
      </c>
      <c r="Q12" s="303"/>
      <c r="R12" s="304"/>
      <c r="S12" s="304"/>
      <c r="T12" s="304"/>
      <c r="U12" s="305"/>
      <c r="V12" s="285"/>
      <c r="W12" s="286"/>
      <c r="X12" s="287"/>
      <c r="Y12" s="283"/>
      <c r="Z12" s="284"/>
    </row>
    <row r="13" spans="2:26" s="16" customFormat="1" ht="14.15" customHeight="1" x14ac:dyDescent="0.35">
      <c r="B13" s="332"/>
      <c r="C13" s="13" t="s">
        <v>9</v>
      </c>
      <c r="D13" s="303" t="s">
        <v>13</v>
      </c>
      <c r="E13" s="304"/>
      <c r="F13" s="304"/>
      <c r="G13" s="304"/>
      <c r="H13" s="304"/>
      <c r="I13" s="387" t="s">
        <v>14</v>
      </c>
      <c r="J13" s="286"/>
      <c r="K13" s="388"/>
      <c r="L13" s="232" t="s">
        <v>12</v>
      </c>
      <c r="M13" s="233"/>
      <c r="O13" s="337"/>
      <c r="P13" s="13">
        <v>17804</v>
      </c>
      <c r="Q13" s="303" t="s">
        <v>15</v>
      </c>
      <c r="R13" s="304"/>
      <c r="S13" s="304"/>
      <c r="T13" s="304"/>
      <c r="U13" s="305"/>
      <c r="V13" s="285" t="s">
        <v>16</v>
      </c>
      <c r="W13" s="286"/>
      <c r="X13" s="287"/>
      <c r="Y13" s="226" t="s">
        <v>12</v>
      </c>
      <c r="Z13" s="227"/>
    </row>
    <row r="14" spans="2:26" s="16" customFormat="1" ht="14.15" customHeight="1" x14ac:dyDescent="0.35">
      <c r="B14" s="333"/>
      <c r="C14" s="14">
        <v>19133</v>
      </c>
      <c r="D14" s="316" t="s">
        <v>17</v>
      </c>
      <c r="E14" s="317"/>
      <c r="F14" s="317"/>
      <c r="G14" s="317"/>
      <c r="H14" s="317"/>
      <c r="I14" s="687" t="s">
        <v>18</v>
      </c>
      <c r="J14" s="298"/>
      <c r="K14" s="688"/>
      <c r="L14" s="490" t="s">
        <v>12</v>
      </c>
      <c r="M14" s="347"/>
      <c r="O14" s="338"/>
      <c r="P14" s="14" t="s">
        <v>9</v>
      </c>
      <c r="Q14" s="316"/>
      <c r="R14" s="317"/>
      <c r="S14" s="317"/>
      <c r="T14" s="317"/>
      <c r="U14" s="318"/>
      <c r="V14" s="297"/>
      <c r="W14" s="298"/>
      <c r="X14" s="299"/>
      <c r="Y14" s="259"/>
      <c r="Z14" s="260"/>
    </row>
    <row r="15" spans="2:26" s="16" customFormat="1" ht="14.15" customHeight="1" x14ac:dyDescent="0.35">
      <c r="B15" s="464">
        <v>4</v>
      </c>
      <c r="C15" s="155">
        <v>19981</v>
      </c>
      <c r="D15" s="224" t="s">
        <v>395</v>
      </c>
      <c r="E15" s="222"/>
      <c r="F15" s="222"/>
      <c r="G15" s="222"/>
      <c r="H15" s="225"/>
      <c r="I15" s="231" t="s">
        <v>11</v>
      </c>
      <c r="J15" s="232"/>
      <c r="K15" s="302"/>
      <c r="L15" s="588" t="s">
        <v>12</v>
      </c>
      <c r="M15" s="252"/>
      <c r="O15" s="355">
        <v>3</v>
      </c>
      <c r="P15" s="44">
        <v>19907</v>
      </c>
      <c r="Q15" s="372" t="s">
        <v>371</v>
      </c>
      <c r="R15" s="373"/>
      <c r="S15" s="373"/>
      <c r="T15" s="373"/>
      <c r="U15" s="374"/>
      <c r="V15" s="231" t="s">
        <v>25</v>
      </c>
      <c r="W15" s="232"/>
      <c r="X15" s="302"/>
      <c r="Y15" s="341" t="s">
        <v>12</v>
      </c>
      <c r="Z15" s="340"/>
    </row>
    <row r="16" spans="2:26" s="16" customFormat="1" ht="14.15" customHeight="1" x14ac:dyDescent="0.35">
      <c r="B16" s="465"/>
      <c r="C16" s="44">
        <v>19975</v>
      </c>
      <c r="D16" s="224" t="s">
        <v>20</v>
      </c>
      <c r="E16" s="222"/>
      <c r="F16" s="222"/>
      <c r="G16" s="222"/>
      <c r="H16" s="222"/>
      <c r="I16" s="381" t="s">
        <v>21</v>
      </c>
      <c r="J16" s="232"/>
      <c r="K16" s="302"/>
      <c r="L16" s="867" t="s">
        <v>12</v>
      </c>
      <c r="M16" s="499"/>
      <c r="O16" s="355"/>
      <c r="P16" s="175">
        <v>19924</v>
      </c>
      <c r="Q16" s="224" t="s">
        <v>372</v>
      </c>
      <c r="R16" s="222"/>
      <c r="S16" s="222"/>
      <c r="T16" s="222"/>
      <c r="U16" s="225"/>
      <c r="V16" s="231" t="s">
        <v>128</v>
      </c>
      <c r="W16" s="232"/>
      <c r="X16" s="233"/>
      <c r="Y16" s="226" t="s">
        <v>12</v>
      </c>
      <c r="Z16" s="227"/>
    </row>
    <row r="17" spans="1:26" s="16" customFormat="1" ht="14.15" customHeight="1" x14ac:dyDescent="0.35">
      <c r="B17" s="465"/>
      <c r="C17" s="175">
        <v>19985</v>
      </c>
      <c r="D17" s="224" t="s">
        <v>396</v>
      </c>
      <c r="E17" s="222"/>
      <c r="F17" s="222"/>
      <c r="G17" s="222"/>
      <c r="H17" s="225"/>
      <c r="I17" s="231" t="s">
        <v>11</v>
      </c>
      <c r="J17" s="232"/>
      <c r="K17" s="233"/>
      <c r="L17" s="261" t="s">
        <v>12</v>
      </c>
      <c r="M17" s="227"/>
      <c r="O17" s="355"/>
      <c r="P17" s="47">
        <v>18063</v>
      </c>
      <c r="Q17" s="372" t="s">
        <v>22</v>
      </c>
      <c r="R17" s="373"/>
      <c r="S17" s="373"/>
      <c r="T17" s="373"/>
      <c r="U17" s="374"/>
      <c r="V17" s="394" t="s">
        <v>23</v>
      </c>
      <c r="W17" s="370"/>
      <c r="X17" s="395"/>
      <c r="Y17" s="226" t="s">
        <v>12</v>
      </c>
      <c r="Z17" s="227"/>
    </row>
    <row r="18" spans="1:26" s="16" customFormat="1" ht="14.15" customHeight="1" x14ac:dyDescent="0.35">
      <c r="B18" s="466"/>
      <c r="C18" s="61">
        <v>19655</v>
      </c>
      <c r="D18" s="375" t="s">
        <v>30</v>
      </c>
      <c r="E18" s="376"/>
      <c r="F18" s="376"/>
      <c r="G18" s="376"/>
      <c r="H18" s="377"/>
      <c r="I18" s="306" t="s">
        <v>19</v>
      </c>
      <c r="J18" s="307"/>
      <c r="K18" s="308"/>
      <c r="L18" s="490" t="s">
        <v>12</v>
      </c>
      <c r="M18" s="347"/>
      <c r="O18" s="356"/>
      <c r="P18" s="45" t="s">
        <v>9</v>
      </c>
      <c r="Q18" s="881"/>
      <c r="R18" s="882"/>
      <c r="S18" s="882"/>
      <c r="T18" s="882"/>
      <c r="U18" s="883"/>
      <c r="V18" s="248"/>
      <c r="W18" s="249"/>
      <c r="X18" s="250"/>
      <c r="Y18" s="346"/>
      <c r="Z18" s="347"/>
    </row>
    <row r="19" spans="1:26" s="16" customFormat="1" ht="14.15" customHeight="1" x14ac:dyDescent="0.35">
      <c r="B19" s="655">
        <v>6</v>
      </c>
      <c r="C19" s="11">
        <v>8</v>
      </c>
      <c r="D19" s="445" t="s">
        <v>219</v>
      </c>
      <c r="E19" s="446"/>
      <c r="F19" s="446"/>
      <c r="G19" s="446"/>
      <c r="H19" s="447"/>
      <c r="I19" s="206" t="s">
        <v>42</v>
      </c>
      <c r="J19" s="207"/>
      <c r="K19" s="208"/>
      <c r="L19" s="246" t="s">
        <v>43</v>
      </c>
      <c r="M19" s="247"/>
      <c r="O19" s="336">
        <v>5</v>
      </c>
      <c r="P19" s="12">
        <v>19958</v>
      </c>
      <c r="Q19" s="212" t="s">
        <v>24</v>
      </c>
      <c r="R19" s="213"/>
      <c r="S19" s="213"/>
      <c r="T19" s="213"/>
      <c r="U19" s="214"/>
      <c r="V19" s="292" t="s">
        <v>25</v>
      </c>
      <c r="W19" s="293"/>
      <c r="X19" s="294"/>
      <c r="Y19" s="246" t="s">
        <v>12</v>
      </c>
      <c r="Z19" s="247"/>
    </row>
    <row r="20" spans="1:26" s="16" customFormat="1" ht="14.15" customHeight="1" x14ac:dyDescent="0.35">
      <c r="B20" s="656"/>
      <c r="C20" s="13">
        <v>9</v>
      </c>
      <c r="D20" s="303" t="s">
        <v>221</v>
      </c>
      <c r="E20" s="304"/>
      <c r="F20" s="304"/>
      <c r="G20" s="304"/>
      <c r="H20" s="305"/>
      <c r="I20" s="285" t="s">
        <v>222</v>
      </c>
      <c r="J20" s="286"/>
      <c r="K20" s="287"/>
      <c r="L20" s="283" t="s">
        <v>43</v>
      </c>
      <c r="M20" s="284"/>
      <c r="O20" s="337"/>
      <c r="P20" s="12">
        <v>19074</v>
      </c>
      <c r="Q20" s="212" t="s">
        <v>26</v>
      </c>
      <c r="R20" s="213"/>
      <c r="S20" s="213"/>
      <c r="T20" s="213"/>
      <c r="U20" s="214"/>
      <c r="V20" s="285" t="s">
        <v>27</v>
      </c>
      <c r="W20" s="286"/>
      <c r="X20" s="287"/>
      <c r="Y20" s="226" t="s">
        <v>12</v>
      </c>
      <c r="Z20" s="227"/>
    </row>
    <row r="21" spans="1:26" s="16" customFormat="1" ht="14.15" customHeight="1" x14ac:dyDescent="0.35">
      <c r="B21" s="656"/>
      <c r="C21" s="13">
        <v>10</v>
      </c>
      <c r="D21" s="303" t="s">
        <v>223</v>
      </c>
      <c r="E21" s="304"/>
      <c r="F21" s="304"/>
      <c r="G21" s="304"/>
      <c r="H21" s="305"/>
      <c r="I21" s="285" t="s">
        <v>42</v>
      </c>
      <c r="J21" s="286"/>
      <c r="K21" s="287"/>
      <c r="L21" s="283" t="s">
        <v>43</v>
      </c>
      <c r="M21" s="284"/>
      <c r="O21" s="337"/>
      <c r="P21" s="13">
        <v>18336</v>
      </c>
      <c r="Q21" s="303" t="s">
        <v>28</v>
      </c>
      <c r="R21" s="304"/>
      <c r="S21" s="304"/>
      <c r="T21" s="304"/>
      <c r="U21" s="305"/>
      <c r="V21" s="285" t="s">
        <v>29</v>
      </c>
      <c r="W21" s="286"/>
      <c r="X21" s="287"/>
      <c r="Y21" s="226" t="s">
        <v>12</v>
      </c>
      <c r="Z21" s="227"/>
    </row>
    <row r="22" spans="1:26" s="16" customFormat="1" ht="14.15" customHeight="1" x14ac:dyDescent="0.35">
      <c r="B22" s="657"/>
      <c r="C22" s="14">
        <v>11</v>
      </c>
      <c r="D22" s="316" t="s">
        <v>224</v>
      </c>
      <c r="E22" s="317"/>
      <c r="F22" s="317"/>
      <c r="G22" s="317"/>
      <c r="H22" s="318"/>
      <c r="I22" s="297" t="s">
        <v>225</v>
      </c>
      <c r="J22" s="298"/>
      <c r="K22" s="299"/>
      <c r="L22" s="259" t="s">
        <v>43</v>
      </c>
      <c r="M22" s="260"/>
      <c r="O22" s="338"/>
      <c r="P22" s="14" t="s">
        <v>9</v>
      </c>
      <c r="Q22" s="524"/>
      <c r="R22" s="525"/>
      <c r="S22" s="525"/>
      <c r="T22" s="525"/>
      <c r="U22" s="526"/>
      <c r="V22" s="297"/>
      <c r="W22" s="298"/>
      <c r="X22" s="299"/>
      <c r="Y22" s="259"/>
      <c r="Z22" s="260"/>
    </row>
    <row r="23" spans="1:26" s="16" customFormat="1" ht="14.15" customHeight="1" x14ac:dyDescent="0.35">
      <c r="B23" s="464">
        <v>8</v>
      </c>
      <c r="C23" s="43"/>
      <c r="D23" s="458"/>
      <c r="E23" s="459"/>
      <c r="F23" s="459"/>
      <c r="G23" s="459"/>
      <c r="H23" s="459"/>
      <c r="I23" s="381"/>
      <c r="J23" s="232"/>
      <c r="K23" s="302"/>
      <c r="L23" s="339"/>
      <c r="M23" s="340"/>
      <c r="O23" s="354">
        <v>7</v>
      </c>
      <c r="P23" s="43">
        <v>17712</v>
      </c>
      <c r="Q23" s="458" t="s">
        <v>32</v>
      </c>
      <c r="R23" s="459"/>
      <c r="S23" s="459"/>
      <c r="T23" s="459"/>
      <c r="U23" s="460"/>
      <c r="V23" s="262" t="s">
        <v>33</v>
      </c>
      <c r="W23" s="263"/>
      <c r="X23" s="264"/>
      <c r="Y23" s="341" t="s">
        <v>12</v>
      </c>
      <c r="Z23" s="340"/>
    </row>
    <row r="24" spans="1:26" s="16" customFormat="1" ht="14.15" customHeight="1" x14ac:dyDescent="0.35">
      <c r="B24" s="465"/>
      <c r="C24" s="44">
        <v>19450</v>
      </c>
      <c r="D24" s="224" t="s">
        <v>34</v>
      </c>
      <c r="E24" s="222"/>
      <c r="F24" s="222"/>
      <c r="G24" s="222"/>
      <c r="H24" s="222"/>
      <c r="I24" s="381" t="s">
        <v>31</v>
      </c>
      <c r="J24" s="232"/>
      <c r="K24" s="302"/>
      <c r="L24" s="261" t="s">
        <v>12</v>
      </c>
      <c r="M24" s="227"/>
      <c r="O24" s="355"/>
      <c r="P24" s="44">
        <v>18979</v>
      </c>
      <c r="Q24" s="500" t="s">
        <v>35</v>
      </c>
      <c r="R24" s="501"/>
      <c r="S24" s="501"/>
      <c r="T24" s="501"/>
      <c r="U24" s="502"/>
      <c r="V24" s="503" t="s">
        <v>11</v>
      </c>
      <c r="W24" s="504"/>
      <c r="X24" s="505"/>
      <c r="Y24" s="226" t="s">
        <v>12</v>
      </c>
      <c r="Z24" s="227"/>
    </row>
    <row r="25" spans="1:26" s="16" customFormat="1" ht="14.15" customHeight="1" x14ac:dyDescent="0.35">
      <c r="B25" s="465"/>
      <c r="C25" s="44"/>
      <c r="D25" s="224"/>
      <c r="E25" s="222"/>
      <c r="F25" s="222"/>
      <c r="G25" s="222"/>
      <c r="H25" s="222"/>
      <c r="I25" s="381"/>
      <c r="J25" s="232"/>
      <c r="K25" s="302"/>
      <c r="L25" s="261"/>
      <c r="M25" s="227"/>
      <c r="O25" s="355"/>
      <c r="P25" s="44">
        <v>19951</v>
      </c>
      <c r="Q25" s="224" t="s">
        <v>36</v>
      </c>
      <c r="R25" s="222"/>
      <c r="S25" s="222"/>
      <c r="T25" s="222"/>
      <c r="U25" s="225"/>
      <c r="V25" s="231" t="s">
        <v>25</v>
      </c>
      <c r="W25" s="232"/>
      <c r="X25" s="233"/>
      <c r="Y25" s="491" t="s">
        <v>12</v>
      </c>
      <c r="Z25" s="284"/>
    </row>
    <row r="26" spans="1:26" s="16" customFormat="1" ht="14.15" customHeight="1" x14ac:dyDescent="0.35">
      <c r="A26" s="141"/>
      <c r="B26" s="466"/>
      <c r="C26" s="45">
        <v>18966</v>
      </c>
      <c r="D26" s="351" t="s">
        <v>37</v>
      </c>
      <c r="E26" s="352"/>
      <c r="F26" s="352"/>
      <c r="G26" s="352"/>
      <c r="H26" s="352"/>
      <c r="I26" s="576" t="s">
        <v>18</v>
      </c>
      <c r="J26" s="249"/>
      <c r="K26" s="577"/>
      <c r="L26" s="490" t="s">
        <v>12</v>
      </c>
      <c r="M26" s="347"/>
      <c r="O26" s="356"/>
      <c r="P26" s="44" t="s">
        <v>9</v>
      </c>
      <c r="Q26" s="679"/>
      <c r="R26" s="680"/>
      <c r="S26" s="680"/>
      <c r="T26" s="680"/>
      <c r="U26" s="681"/>
      <c r="V26" s="268"/>
      <c r="W26" s="269"/>
      <c r="X26" s="270"/>
      <c r="Y26" s="346"/>
      <c r="Z26" s="347"/>
    </row>
    <row r="27" spans="1:26" s="16" customFormat="1" ht="14.15" customHeight="1" x14ac:dyDescent="0.35">
      <c r="B27" s="331">
        <v>10</v>
      </c>
      <c r="C27" s="11">
        <v>9</v>
      </c>
      <c r="D27" s="658" t="s">
        <v>247</v>
      </c>
      <c r="E27" s="659"/>
      <c r="F27" s="659"/>
      <c r="G27" s="659"/>
      <c r="H27" s="659"/>
      <c r="I27" s="650" t="s">
        <v>42</v>
      </c>
      <c r="J27" s="651"/>
      <c r="K27" s="652"/>
      <c r="L27" s="651" t="s">
        <v>43</v>
      </c>
      <c r="M27" s="652"/>
      <c r="O27" s="336">
        <v>9</v>
      </c>
      <c r="P27" s="11" t="s">
        <v>9</v>
      </c>
      <c r="Q27" s="212"/>
      <c r="R27" s="213"/>
      <c r="S27" s="213"/>
      <c r="T27" s="213"/>
      <c r="U27" s="214"/>
      <c r="V27" s="206"/>
      <c r="W27" s="207"/>
      <c r="X27" s="208"/>
      <c r="Y27" s="246"/>
      <c r="Z27" s="247"/>
    </row>
    <row r="28" spans="1:26" s="16" customFormat="1" ht="14.15" customHeight="1" x14ac:dyDescent="0.35">
      <c r="B28" s="332"/>
      <c r="C28" s="13">
        <v>10</v>
      </c>
      <c r="D28" s="639" t="s">
        <v>249</v>
      </c>
      <c r="E28" s="640"/>
      <c r="F28" s="640"/>
      <c r="G28" s="640"/>
      <c r="H28" s="640"/>
      <c r="I28" s="698" t="s">
        <v>42</v>
      </c>
      <c r="J28" s="648"/>
      <c r="K28" s="649"/>
      <c r="L28" s="648" t="s">
        <v>43</v>
      </c>
      <c r="M28" s="649"/>
      <c r="O28" s="337"/>
      <c r="P28" s="13">
        <v>18370</v>
      </c>
      <c r="Q28" s="303" t="s">
        <v>38</v>
      </c>
      <c r="R28" s="304"/>
      <c r="S28" s="304"/>
      <c r="T28" s="304"/>
      <c r="U28" s="305"/>
      <c r="V28" s="285" t="s">
        <v>29</v>
      </c>
      <c r="W28" s="286"/>
      <c r="X28" s="287"/>
      <c r="Y28" s="226" t="s">
        <v>12</v>
      </c>
      <c r="Z28" s="227"/>
    </row>
    <row r="29" spans="1:26" s="16" customFormat="1" ht="14.15" customHeight="1" x14ac:dyDescent="0.35">
      <c r="B29" s="332"/>
      <c r="C29" s="13">
        <v>11</v>
      </c>
      <c r="D29" s="639" t="s">
        <v>250</v>
      </c>
      <c r="E29" s="640"/>
      <c r="F29" s="640"/>
      <c r="G29" s="640"/>
      <c r="H29" s="661"/>
      <c r="I29" s="648" t="s">
        <v>42</v>
      </c>
      <c r="J29" s="648"/>
      <c r="K29" s="649"/>
      <c r="L29" s="648" t="s">
        <v>43</v>
      </c>
      <c r="M29" s="649"/>
      <c r="O29" s="337"/>
      <c r="P29" s="12" t="s">
        <v>9</v>
      </c>
      <c r="Q29" s="212"/>
      <c r="R29" s="213"/>
      <c r="S29" s="213"/>
      <c r="T29" s="213"/>
      <c r="U29" s="214"/>
      <c r="V29" s="292"/>
      <c r="W29" s="293"/>
      <c r="X29" s="453"/>
      <c r="Y29" s="283"/>
      <c r="Z29" s="284"/>
    </row>
    <row r="30" spans="1:26" s="16" customFormat="1" ht="14.15" customHeight="1" x14ac:dyDescent="0.35">
      <c r="B30" s="333"/>
      <c r="C30" s="13">
        <v>12</v>
      </c>
      <c r="D30" s="662" t="s">
        <v>252</v>
      </c>
      <c r="E30" s="663"/>
      <c r="F30" s="663"/>
      <c r="G30" s="663"/>
      <c r="H30" s="664"/>
      <c r="I30" s="648" t="s">
        <v>42</v>
      </c>
      <c r="J30" s="648"/>
      <c r="K30" s="649"/>
      <c r="L30" s="648" t="s">
        <v>43</v>
      </c>
      <c r="M30" s="649"/>
      <c r="O30" s="338"/>
      <c r="P30" s="14">
        <v>19725</v>
      </c>
      <c r="Q30" s="316" t="s">
        <v>39</v>
      </c>
      <c r="R30" s="317"/>
      <c r="S30" s="317"/>
      <c r="T30" s="317"/>
      <c r="U30" s="318"/>
      <c r="V30" s="297" t="s">
        <v>40</v>
      </c>
      <c r="W30" s="298"/>
      <c r="X30" s="299"/>
      <c r="Y30" s="346" t="s">
        <v>12</v>
      </c>
      <c r="Z30" s="347"/>
    </row>
    <row r="31" spans="1:26" s="16" customFormat="1" ht="14.15" customHeight="1" x14ac:dyDescent="0.35">
      <c r="B31" s="464">
        <v>12</v>
      </c>
      <c r="C31" s="43"/>
      <c r="D31" s="458" t="s">
        <v>41</v>
      </c>
      <c r="E31" s="459"/>
      <c r="F31" s="459"/>
      <c r="G31" s="459"/>
      <c r="H31" s="459"/>
      <c r="I31" s="750" t="s">
        <v>42</v>
      </c>
      <c r="J31" s="263"/>
      <c r="K31" s="590"/>
      <c r="L31" s="864" t="s">
        <v>43</v>
      </c>
      <c r="M31" s="865"/>
      <c r="O31" s="354">
        <v>11</v>
      </c>
      <c r="P31" s="43" t="s">
        <v>9</v>
      </c>
      <c r="Q31" s="372"/>
      <c r="R31" s="373"/>
      <c r="S31" s="373"/>
      <c r="T31" s="373"/>
      <c r="U31" s="374"/>
      <c r="V31" s="262"/>
      <c r="W31" s="263"/>
      <c r="X31" s="264"/>
      <c r="Y31" s="226"/>
      <c r="Z31" s="227"/>
    </row>
    <row r="32" spans="1:26" s="16" customFormat="1" ht="14.15" customHeight="1" x14ac:dyDescent="0.35">
      <c r="B32" s="465"/>
      <c r="C32" s="44"/>
      <c r="D32" s="224" t="s">
        <v>44</v>
      </c>
      <c r="E32" s="222"/>
      <c r="F32" s="222"/>
      <c r="G32" s="222"/>
      <c r="H32" s="222"/>
      <c r="I32" s="381" t="s">
        <v>42</v>
      </c>
      <c r="J32" s="232"/>
      <c r="K32" s="302"/>
      <c r="L32" s="261" t="s">
        <v>43</v>
      </c>
      <c r="M32" s="227"/>
      <c r="O32" s="355"/>
      <c r="P32" s="44">
        <v>19174</v>
      </c>
      <c r="Q32" s="224" t="s">
        <v>45</v>
      </c>
      <c r="R32" s="222"/>
      <c r="S32" s="222"/>
      <c r="T32" s="222"/>
      <c r="U32" s="225"/>
      <c r="V32" s="231" t="s">
        <v>46</v>
      </c>
      <c r="W32" s="232"/>
      <c r="X32" s="233"/>
      <c r="Y32" s="226" t="s">
        <v>12</v>
      </c>
      <c r="Z32" s="227"/>
    </row>
    <row r="33" spans="2:32" s="16" customFormat="1" ht="14.15" customHeight="1" x14ac:dyDescent="0.35">
      <c r="B33" s="465"/>
      <c r="C33" s="44"/>
      <c r="D33" s="420" t="s">
        <v>47</v>
      </c>
      <c r="E33" s="421"/>
      <c r="F33" s="421"/>
      <c r="G33" s="421"/>
      <c r="H33" s="422"/>
      <c r="I33" s="231" t="s">
        <v>42</v>
      </c>
      <c r="J33" s="232"/>
      <c r="K33" s="233"/>
      <c r="L33" s="261" t="s">
        <v>43</v>
      </c>
      <c r="M33" s="227"/>
      <c r="O33" s="355"/>
      <c r="P33" s="44" t="s">
        <v>9</v>
      </c>
      <c r="Q33" s="224"/>
      <c r="R33" s="222"/>
      <c r="S33" s="222"/>
      <c r="T33" s="222"/>
      <c r="U33" s="225"/>
      <c r="V33" s="231"/>
      <c r="W33" s="232"/>
      <c r="X33" s="233"/>
      <c r="Y33" s="226"/>
      <c r="Z33" s="227"/>
    </row>
    <row r="34" spans="2:32" s="16" customFormat="1" ht="14.15" customHeight="1" x14ac:dyDescent="0.35">
      <c r="B34" s="466"/>
      <c r="C34" s="45"/>
      <c r="D34" s="351"/>
      <c r="E34" s="352"/>
      <c r="F34" s="352"/>
      <c r="G34" s="352"/>
      <c r="H34" s="352"/>
      <c r="I34" s="576"/>
      <c r="J34" s="249"/>
      <c r="K34" s="577"/>
      <c r="L34" s="490"/>
      <c r="M34" s="347"/>
      <c r="O34" s="356"/>
      <c r="P34" s="173">
        <v>19099</v>
      </c>
      <c r="Q34" s="566" t="s">
        <v>48</v>
      </c>
      <c r="R34" s="567"/>
      <c r="S34" s="567"/>
      <c r="T34" s="567"/>
      <c r="U34" s="568"/>
      <c r="V34" s="875" t="s">
        <v>31</v>
      </c>
      <c r="W34" s="876"/>
      <c r="X34" s="877"/>
      <c r="Y34" s="226" t="s">
        <v>12</v>
      </c>
      <c r="Z34" s="227"/>
    </row>
    <row r="35" spans="2:32" s="16" customFormat="1" ht="14.15" customHeight="1" x14ac:dyDescent="0.35">
      <c r="B35" s="331">
        <v>14</v>
      </c>
      <c r="C35" s="11">
        <v>19761</v>
      </c>
      <c r="D35" s="303" t="s">
        <v>49</v>
      </c>
      <c r="E35" s="304"/>
      <c r="F35" s="304"/>
      <c r="G35" s="304"/>
      <c r="H35" s="304"/>
      <c r="I35" s="668" t="s">
        <v>25</v>
      </c>
      <c r="J35" s="207"/>
      <c r="K35" s="598"/>
      <c r="L35" s="339" t="s">
        <v>12</v>
      </c>
      <c r="M35" s="340"/>
      <c r="O35" s="336">
        <v>13</v>
      </c>
      <c r="P35" s="12">
        <v>19045</v>
      </c>
      <c r="Q35" s="872" t="s">
        <v>399</v>
      </c>
      <c r="R35" s="873"/>
      <c r="S35" s="873"/>
      <c r="T35" s="873"/>
      <c r="U35" s="874"/>
      <c r="V35" s="869" t="s">
        <v>31</v>
      </c>
      <c r="W35" s="870"/>
      <c r="X35" s="871"/>
      <c r="Y35" s="246" t="s">
        <v>12</v>
      </c>
      <c r="Z35" s="247"/>
    </row>
    <row r="36" spans="2:32" s="16" customFormat="1" ht="14.15" customHeight="1" x14ac:dyDescent="0.35">
      <c r="B36" s="332"/>
      <c r="C36" s="13" t="s">
        <v>9</v>
      </c>
      <c r="D36" s="303"/>
      <c r="E36" s="304"/>
      <c r="F36" s="304"/>
      <c r="G36" s="304"/>
      <c r="H36" s="304"/>
      <c r="I36" s="387"/>
      <c r="J36" s="286"/>
      <c r="K36" s="388"/>
      <c r="L36" s="491"/>
      <c r="M36" s="284"/>
      <c r="O36" s="337"/>
      <c r="P36" s="13" t="s">
        <v>9</v>
      </c>
      <c r="Q36" s="303"/>
      <c r="R36" s="304"/>
      <c r="S36" s="304"/>
      <c r="T36" s="304"/>
      <c r="U36" s="305"/>
      <c r="V36" s="285"/>
      <c r="W36" s="286"/>
      <c r="X36" s="287"/>
      <c r="Y36" s="226"/>
      <c r="Z36" s="227"/>
    </row>
    <row r="37" spans="2:32" s="16" customFormat="1" ht="14.15" customHeight="1" x14ac:dyDescent="0.35">
      <c r="B37" s="332"/>
      <c r="C37" s="12">
        <v>19917</v>
      </c>
      <c r="D37" s="212" t="s">
        <v>50</v>
      </c>
      <c r="E37" s="213"/>
      <c r="F37" s="213"/>
      <c r="G37" s="213"/>
      <c r="H37" s="214"/>
      <c r="I37" s="292" t="s">
        <v>25</v>
      </c>
      <c r="J37" s="293"/>
      <c r="K37" s="294"/>
      <c r="L37" s="261" t="s">
        <v>12</v>
      </c>
      <c r="M37" s="227"/>
      <c r="O37" s="337"/>
      <c r="P37" s="13">
        <v>19369</v>
      </c>
      <c r="Q37" s="303" t="s">
        <v>51</v>
      </c>
      <c r="R37" s="304"/>
      <c r="S37" s="304"/>
      <c r="T37" s="304"/>
      <c r="U37" s="305"/>
      <c r="V37" s="285" t="s">
        <v>31</v>
      </c>
      <c r="W37" s="286"/>
      <c r="X37" s="287"/>
      <c r="Y37" s="226" t="s">
        <v>12</v>
      </c>
      <c r="Z37" s="227"/>
    </row>
    <row r="38" spans="2:32" s="16" customFormat="1" ht="14.15" customHeight="1" x14ac:dyDescent="0.35">
      <c r="B38" s="333"/>
      <c r="C38" s="14">
        <v>19866</v>
      </c>
      <c r="D38" s="316" t="s">
        <v>52</v>
      </c>
      <c r="E38" s="317"/>
      <c r="F38" s="317"/>
      <c r="G38" s="317"/>
      <c r="H38" s="317"/>
      <c r="I38" s="687" t="s">
        <v>21</v>
      </c>
      <c r="J38" s="298"/>
      <c r="K38" s="688"/>
      <c r="L38" s="490" t="s">
        <v>12</v>
      </c>
      <c r="M38" s="347"/>
      <c r="O38" s="338"/>
      <c r="P38" s="14" t="s">
        <v>9</v>
      </c>
      <c r="Q38" s="316"/>
      <c r="R38" s="317"/>
      <c r="S38" s="317"/>
      <c r="T38" s="317"/>
      <c r="U38" s="318"/>
      <c r="V38" s="181"/>
      <c r="W38" s="182"/>
      <c r="X38" s="183"/>
      <c r="Y38" s="259"/>
      <c r="Z38" s="260"/>
    </row>
    <row r="39" spans="2:32" s="16" customFormat="1" ht="14.15" customHeight="1" x14ac:dyDescent="0.35">
      <c r="B39" s="464">
        <v>16</v>
      </c>
      <c r="C39" s="43">
        <v>18489</v>
      </c>
      <c r="D39" s="372" t="s">
        <v>254</v>
      </c>
      <c r="E39" s="373"/>
      <c r="F39" s="373"/>
      <c r="G39" s="373"/>
      <c r="H39" s="374"/>
      <c r="I39" s="394" t="s">
        <v>146</v>
      </c>
      <c r="J39" s="370"/>
      <c r="K39" s="395"/>
      <c r="L39" s="339" t="s">
        <v>12</v>
      </c>
      <c r="M39" s="340"/>
      <c r="O39" s="354">
        <v>15</v>
      </c>
      <c r="P39" s="43">
        <v>17688</v>
      </c>
      <c r="Q39" s="458" t="s">
        <v>53</v>
      </c>
      <c r="R39" s="459"/>
      <c r="S39" s="459"/>
      <c r="T39" s="459"/>
      <c r="U39" s="460"/>
      <c r="V39" s="262" t="s">
        <v>29</v>
      </c>
      <c r="W39" s="263"/>
      <c r="X39" s="264"/>
      <c r="Y39" s="341" t="s">
        <v>12</v>
      </c>
      <c r="Z39" s="340"/>
    </row>
    <row r="40" spans="2:32" s="16" customFormat="1" ht="14.15" customHeight="1" x14ac:dyDescent="0.35">
      <c r="B40" s="465"/>
      <c r="C40" s="44">
        <v>19231</v>
      </c>
      <c r="D40" s="420" t="s">
        <v>256</v>
      </c>
      <c r="E40" s="421"/>
      <c r="F40" s="421"/>
      <c r="G40" s="421"/>
      <c r="H40" s="422"/>
      <c r="I40" s="414" t="s">
        <v>19</v>
      </c>
      <c r="J40" s="415"/>
      <c r="K40" s="416"/>
      <c r="L40" s="261" t="s">
        <v>12</v>
      </c>
      <c r="M40" s="227"/>
      <c r="O40" s="355"/>
      <c r="P40" s="44" t="s">
        <v>9</v>
      </c>
      <c r="Q40" s="224"/>
      <c r="R40" s="222"/>
      <c r="S40" s="222"/>
      <c r="T40" s="222"/>
      <c r="U40" s="225"/>
      <c r="V40" s="231"/>
      <c r="W40" s="232"/>
      <c r="X40" s="233"/>
      <c r="Y40" s="226"/>
      <c r="Z40" s="227"/>
    </row>
    <row r="41" spans="2:32" s="16" customFormat="1" ht="14.15" customHeight="1" x14ac:dyDescent="0.35">
      <c r="B41" s="465"/>
      <c r="C41" s="155">
        <v>19970</v>
      </c>
      <c r="D41" s="420" t="s">
        <v>257</v>
      </c>
      <c r="E41" s="421"/>
      <c r="F41" s="421"/>
      <c r="G41" s="421"/>
      <c r="H41" s="422"/>
      <c r="I41" s="414" t="s">
        <v>27</v>
      </c>
      <c r="J41" s="415"/>
      <c r="K41" s="416"/>
      <c r="L41" s="261" t="s">
        <v>12</v>
      </c>
      <c r="M41" s="227"/>
      <c r="O41" s="355"/>
      <c r="P41" s="44" t="s">
        <v>9</v>
      </c>
      <c r="Q41" s="224"/>
      <c r="R41" s="222"/>
      <c r="S41" s="222"/>
      <c r="T41" s="222"/>
      <c r="U41" s="225"/>
      <c r="V41" s="231"/>
      <c r="W41" s="232"/>
      <c r="X41" s="233"/>
      <c r="Y41" s="226"/>
      <c r="Z41" s="227"/>
    </row>
    <row r="42" spans="2:32" s="16" customFormat="1" ht="14.15" customHeight="1" x14ac:dyDescent="0.35">
      <c r="B42" s="466"/>
      <c r="C42" s="45" t="s">
        <v>9</v>
      </c>
      <c r="D42" s="432"/>
      <c r="E42" s="433"/>
      <c r="F42" s="433"/>
      <c r="G42" s="433"/>
      <c r="H42" s="434"/>
      <c r="I42" s="417"/>
      <c r="J42" s="418"/>
      <c r="K42" s="419"/>
      <c r="L42" s="540"/>
      <c r="M42" s="541"/>
      <c r="O42" s="356"/>
      <c r="P42" s="45" t="s">
        <v>9</v>
      </c>
      <c r="Q42" s="351"/>
      <c r="R42" s="352"/>
      <c r="S42" s="352"/>
      <c r="T42" s="352"/>
      <c r="U42" s="353"/>
      <c r="V42" s="248"/>
      <c r="W42" s="249"/>
      <c r="X42" s="250"/>
      <c r="Y42" s="346"/>
      <c r="Z42" s="347"/>
    </row>
    <row r="43" spans="2:32" s="16" customFormat="1" ht="14.15" customHeight="1" x14ac:dyDescent="0.35">
      <c r="B43" s="331">
        <v>18</v>
      </c>
      <c r="C43" s="11"/>
      <c r="D43" s="212"/>
      <c r="E43" s="213"/>
      <c r="F43" s="213"/>
      <c r="G43" s="213"/>
      <c r="H43" s="213"/>
      <c r="I43" s="682"/>
      <c r="J43" s="293"/>
      <c r="K43" s="453"/>
      <c r="L43" s="438"/>
      <c r="M43" s="247"/>
      <c r="O43" s="336">
        <v>17</v>
      </c>
      <c r="P43" s="11">
        <v>17417</v>
      </c>
      <c r="Q43" s="303" t="s">
        <v>58</v>
      </c>
      <c r="R43" s="304"/>
      <c r="S43" s="304"/>
      <c r="T43" s="304"/>
      <c r="U43" s="305"/>
      <c r="V43" s="206" t="s">
        <v>59</v>
      </c>
      <c r="W43" s="207"/>
      <c r="X43" s="208"/>
      <c r="Y43" s="341" t="s">
        <v>12</v>
      </c>
      <c r="Z43" s="340"/>
    </row>
    <row r="44" spans="2:32" s="16" customFormat="1" ht="14.15" customHeight="1" x14ac:dyDescent="0.35">
      <c r="B44" s="332"/>
      <c r="C44" s="13"/>
      <c r="D44" s="303" t="s">
        <v>60</v>
      </c>
      <c r="E44" s="304"/>
      <c r="F44" s="304"/>
      <c r="G44" s="304"/>
      <c r="H44" s="304"/>
      <c r="I44" s="387" t="s">
        <v>16</v>
      </c>
      <c r="J44" s="286"/>
      <c r="K44" s="388"/>
      <c r="L44" s="491" t="s">
        <v>12</v>
      </c>
      <c r="M44" s="284"/>
      <c r="O44" s="337"/>
      <c r="P44" s="13" t="s">
        <v>9</v>
      </c>
      <c r="Q44" s="303"/>
      <c r="R44" s="304"/>
      <c r="S44" s="304"/>
      <c r="T44" s="304"/>
      <c r="U44" s="305"/>
      <c r="V44" s="285"/>
      <c r="W44" s="286"/>
      <c r="X44" s="287"/>
      <c r="Y44" s="283"/>
      <c r="Z44" s="284"/>
    </row>
    <row r="45" spans="2:32" s="16" customFormat="1" ht="14.15" customHeight="1" x14ac:dyDescent="0.35">
      <c r="B45" s="332"/>
      <c r="C45" s="13"/>
      <c r="D45" s="303"/>
      <c r="E45" s="304"/>
      <c r="F45" s="304"/>
      <c r="G45" s="304"/>
      <c r="H45" s="660"/>
      <c r="I45" s="387"/>
      <c r="J45" s="286"/>
      <c r="K45" s="388"/>
      <c r="L45" s="387"/>
      <c r="M45" s="287"/>
      <c r="O45" s="337"/>
      <c r="P45" s="13">
        <v>17805</v>
      </c>
      <c r="Q45" s="303" t="s">
        <v>61</v>
      </c>
      <c r="R45" s="304"/>
      <c r="S45" s="304"/>
      <c r="T45" s="304"/>
      <c r="U45" s="305"/>
      <c r="V45" s="285" t="s">
        <v>62</v>
      </c>
      <c r="W45" s="286"/>
      <c r="X45" s="287"/>
      <c r="Y45" s="226" t="s">
        <v>12</v>
      </c>
      <c r="Z45" s="227"/>
    </row>
    <row r="46" spans="2:32" s="16" customFormat="1" ht="14.15" customHeight="1" x14ac:dyDescent="0.35">
      <c r="B46" s="333"/>
      <c r="C46" s="13"/>
      <c r="D46" s="303" t="s">
        <v>63</v>
      </c>
      <c r="E46" s="304"/>
      <c r="F46" s="304"/>
      <c r="G46" s="304"/>
      <c r="H46" s="305"/>
      <c r="I46" s="285" t="s">
        <v>64</v>
      </c>
      <c r="J46" s="286"/>
      <c r="K46" s="388"/>
      <c r="L46" s="346" t="s">
        <v>12</v>
      </c>
      <c r="M46" s="347"/>
      <c r="O46" s="338"/>
      <c r="P46" s="14"/>
      <c r="Q46" s="524"/>
      <c r="R46" s="525"/>
      <c r="S46" s="525"/>
      <c r="T46" s="525"/>
      <c r="U46" s="526"/>
      <c r="V46" s="297"/>
      <c r="W46" s="298"/>
      <c r="X46" s="299"/>
      <c r="Y46" s="259"/>
      <c r="Z46" s="260"/>
      <c r="AF46"/>
    </row>
    <row r="47" spans="2:32" s="16" customFormat="1" ht="14.15" customHeight="1" x14ac:dyDescent="0.35">
      <c r="B47" s="464">
        <v>20</v>
      </c>
      <c r="C47" s="43">
        <v>1</v>
      </c>
      <c r="D47" s="458" t="s">
        <v>65</v>
      </c>
      <c r="E47" s="459"/>
      <c r="F47" s="459"/>
      <c r="G47" s="459"/>
      <c r="H47" s="459"/>
      <c r="I47" s="673" t="s">
        <v>66</v>
      </c>
      <c r="J47" s="674"/>
      <c r="K47" s="675"/>
      <c r="L47" s="683" t="s">
        <v>67</v>
      </c>
      <c r="M47" s="684"/>
      <c r="O47" s="354">
        <v>19</v>
      </c>
      <c r="P47" s="43">
        <v>16315</v>
      </c>
      <c r="Q47" s="458" t="s">
        <v>68</v>
      </c>
      <c r="R47" s="459"/>
      <c r="S47" s="459"/>
      <c r="T47" s="459"/>
      <c r="U47" s="460"/>
      <c r="V47" s="262" t="s">
        <v>69</v>
      </c>
      <c r="W47" s="263"/>
      <c r="X47" s="264"/>
      <c r="Y47" s="341" t="s">
        <v>12</v>
      </c>
      <c r="Z47" s="340"/>
      <c r="AF47"/>
    </row>
    <row r="48" spans="2:32" s="16" customFormat="1" ht="14.15" customHeight="1" x14ac:dyDescent="0.35">
      <c r="B48" s="465"/>
      <c r="C48" s="44"/>
      <c r="D48" s="224" t="s">
        <v>74</v>
      </c>
      <c r="E48" s="222"/>
      <c r="F48" s="222"/>
      <c r="G48" s="222"/>
      <c r="H48" s="222"/>
      <c r="I48" s="671" t="s">
        <v>66</v>
      </c>
      <c r="J48" s="495"/>
      <c r="K48" s="672"/>
      <c r="L48" s="689" t="s">
        <v>67</v>
      </c>
      <c r="M48" s="573"/>
      <c r="O48" s="355"/>
      <c r="P48" s="44"/>
      <c r="Q48" s="878" t="s">
        <v>71</v>
      </c>
      <c r="R48" s="879"/>
      <c r="S48" s="879"/>
      <c r="T48" s="879"/>
      <c r="U48" s="880"/>
      <c r="V48" s="563" t="s">
        <v>55</v>
      </c>
      <c r="W48" s="564"/>
      <c r="X48" s="565"/>
      <c r="Y48" s="491" t="s">
        <v>12</v>
      </c>
      <c r="Z48" s="284"/>
      <c r="AF48"/>
    </row>
    <row r="49" spans="1:32" s="16" customFormat="1" ht="14.15" customHeight="1" x14ac:dyDescent="0.35">
      <c r="B49" s="465"/>
      <c r="C49" s="44"/>
      <c r="D49" s="224"/>
      <c r="E49" s="222"/>
      <c r="F49" s="222"/>
      <c r="G49" s="222"/>
      <c r="H49" s="222"/>
      <c r="I49" s="381"/>
      <c r="J49" s="232"/>
      <c r="K49" s="302"/>
      <c r="L49" s="690"/>
      <c r="M49" s="691"/>
      <c r="O49" s="355"/>
      <c r="P49" s="175"/>
      <c r="Q49" s="224"/>
      <c r="R49" s="222"/>
      <c r="S49" s="222"/>
      <c r="T49" s="222"/>
      <c r="U49" s="222"/>
      <c r="V49" s="857"/>
      <c r="W49" s="858"/>
      <c r="X49" s="859"/>
      <c r="Y49" s="856"/>
      <c r="Z49" s="541"/>
      <c r="AF49"/>
    </row>
    <row r="50" spans="1:32" s="16" customFormat="1" ht="14.15" customHeight="1" x14ac:dyDescent="0.35">
      <c r="B50" s="466"/>
      <c r="C50" s="45">
        <v>8</v>
      </c>
      <c r="D50" s="351" t="s">
        <v>77</v>
      </c>
      <c r="E50" s="352"/>
      <c r="F50" s="352"/>
      <c r="G50" s="352"/>
      <c r="H50" s="352"/>
      <c r="I50" s="576" t="s">
        <v>66</v>
      </c>
      <c r="J50" s="249"/>
      <c r="K50" s="577"/>
      <c r="L50" s="699" t="s">
        <v>67</v>
      </c>
      <c r="M50" s="700"/>
      <c r="O50" s="356"/>
      <c r="P50" s="156"/>
      <c r="Q50" s="351" t="s">
        <v>72</v>
      </c>
      <c r="R50" s="352"/>
      <c r="S50" s="352"/>
      <c r="T50" s="352"/>
      <c r="U50" s="352"/>
      <c r="V50" s="677" t="s">
        <v>73</v>
      </c>
      <c r="W50" s="307"/>
      <c r="X50" s="678"/>
      <c r="Y50" s="597" t="s">
        <v>12</v>
      </c>
      <c r="Z50" s="301"/>
      <c r="AF50"/>
    </row>
    <row r="51" spans="1:32" s="17" customFormat="1" ht="14.15" customHeight="1" x14ac:dyDescent="0.35">
      <c r="A51" s="16"/>
      <c r="B51" s="331">
        <v>22</v>
      </c>
      <c r="C51" s="11"/>
      <c r="D51" s="445" t="s">
        <v>558</v>
      </c>
      <c r="E51" s="446"/>
      <c r="F51" s="446"/>
      <c r="G51" s="446"/>
      <c r="H51" s="446"/>
      <c r="I51" s="622"/>
      <c r="J51" s="623"/>
      <c r="K51" s="624"/>
      <c r="L51" s="438" t="s">
        <v>12</v>
      </c>
      <c r="M51" s="247"/>
      <c r="N51" s="16"/>
      <c r="O51" s="336">
        <v>21</v>
      </c>
      <c r="P51" s="11">
        <v>19685</v>
      </c>
      <c r="Q51" s="445" t="s">
        <v>274</v>
      </c>
      <c r="R51" s="446"/>
      <c r="S51" s="446"/>
      <c r="T51" s="446"/>
      <c r="U51" s="447"/>
      <c r="V51" s="206" t="s">
        <v>19</v>
      </c>
      <c r="W51" s="207"/>
      <c r="X51" s="208"/>
      <c r="Y51" s="341" t="s">
        <v>12</v>
      </c>
      <c r="Z51" s="340"/>
      <c r="AF51"/>
    </row>
    <row r="52" spans="1:32" s="17" customFormat="1" ht="14.15" customHeight="1" x14ac:dyDescent="0.35">
      <c r="A52" s="16"/>
      <c r="B52" s="332"/>
      <c r="C52" s="13"/>
      <c r="D52" s="303" t="s">
        <v>559</v>
      </c>
      <c r="E52" s="304"/>
      <c r="F52" s="304"/>
      <c r="G52" s="304"/>
      <c r="H52" s="304"/>
      <c r="I52" s="387"/>
      <c r="J52" s="286"/>
      <c r="K52" s="388"/>
      <c r="L52" s="491" t="s">
        <v>12</v>
      </c>
      <c r="M52" s="284"/>
      <c r="N52" s="16"/>
      <c r="O52" s="337"/>
      <c r="P52" s="62">
        <v>17758</v>
      </c>
      <c r="Q52" s="524" t="s">
        <v>75</v>
      </c>
      <c r="R52" s="525"/>
      <c r="S52" s="525"/>
      <c r="T52" s="525"/>
      <c r="U52" s="526"/>
      <c r="V52" s="285" t="s">
        <v>76</v>
      </c>
      <c r="W52" s="286"/>
      <c r="X52" s="287"/>
      <c r="Y52" s="226" t="s">
        <v>12</v>
      </c>
      <c r="Z52" s="227"/>
      <c r="AF52"/>
    </row>
    <row r="53" spans="1:32" s="17" customFormat="1" ht="14.15" customHeight="1" x14ac:dyDescent="0.35">
      <c r="A53" s="16"/>
      <c r="B53" s="332"/>
      <c r="C53" s="13"/>
      <c r="D53" s="303" t="s">
        <v>560</v>
      </c>
      <c r="E53" s="304"/>
      <c r="F53" s="304"/>
      <c r="G53" s="304"/>
      <c r="H53" s="304"/>
      <c r="I53" s="387"/>
      <c r="J53" s="286"/>
      <c r="K53" s="388"/>
      <c r="L53" s="584" t="s">
        <v>12</v>
      </c>
      <c r="M53" s="289"/>
      <c r="N53" s="16"/>
      <c r="O53" s="337"/>
      <c r="P53" s="13" t="s">
        <v>9</v>
      </c>
      <c r="Q53" s="303"/>
      <c r="R53" s="304"/>
      <c r="S53" s="304"/>
      <c r="T53" s="304"/>
      <c r="U53" s="304"/>
      <c r="V53" s="884"/>
      <c r="W53" s="885"/>
      <c r="X53" s="886"/>
      <c r="Y53" s="868"/>
      <c r="Z53" s="743"/>
      <c r="AF53"/>
    </row>
    <row r="54" spans="1:32" s="17" customFormat="1" ht="15" customHeight="1" x14ac:dyDescent="0.35">
      <c r="A54" s="16"/>
      <c r="B54" s="333"/>
      <c r="C54" s="65"/>
      <c r="D54" s="610"/>
      <c r="E54" s="611"/>
      <c r="F54" s="611"/>
      <c r="G54" s="611"/>
      <c r="H54" s="611"/>
      <c r="I54" s="669"/>
      <c r="J54" s="320"/>
      <c r="K54" s="670"/>
      <c r="L54" s="685"/>
      <c r="M54" s="686"/>
      <c r="N54" s="16"/>
      <c r="O54" s="338"/>
      <c r="P54" s="14" t="s">
        <v>9</v>
      </c>
      <c r="Q54" s="643"/>
      <c r="R54" s="644"/>
      <c r="S54" s="644"/>
      <c r="T54" s="644"/>
      <c r="U54" s="644"/>
      <c r="V54" s="669"/>
      <c r="W54" s="320"/>
      <c r="X54" s="670"/>
      <c r="Y54" s="584"/>
      <c r="Z54" s="289"/>
      <c r="AF54"/>
    </row>
    <row r="55" spans="1:32" s="17" customFormat="1" ht="14.15" customHeight="1" x14ac:dyDescent="0.35">
      <c r="A55" s="16"/>
      <c r="B55" s="464">
        <v>24</v>
      </c>
      <c r="C55" s="171">
        <v>19096</v>
      </c>
      <c r="D55" s="234" t="s">
        <v>78</v>
      </c>
      <c r="E55" s="235"/>
      <c r="F55" s="235"/>
      <c r="G55" s="235"/>
      <c r="H55" s="236"/>
      <c r="I55" s="408" t="s">
        <v>21</v>
      </c>
      <c r="J55" s="409"/>
      <c r="K55" s="410"/>
      <c r="L55" s="226" t="s">
        <v>12</v>
      </c>
      <c r="M55" s="227"/>
      <c r="N55" s="16"/>
      <c r="O55" s="354">
        <v>23</v>
      </c>
      <c r="P55" s="170">
        <v>19971</v>
      </c>
      <c r="Q55" s="372" t="s">
        <v>205</v>
      </c>
      <c r="R55" s="373"/>
      <c r="S55" s="373"/>
      <c r="T55" s="373"/>
      <c r="U55" s="374"/>
      <c r="V55" s="370" t="s">
        <v>25</v>
      </c>
      <c r="W55" s="370"/>
      <c r="X55" s="371"/>
      <c r="Y55" s="341" t="s">
        <v>12</v>
      </c>
      <c r="Z55" s="340"/>
      <c r="AF55"/>
    </row>
    <row r="56" spans="1:32" s="17" customFormat="1" ht="14.15" customHeight="1" x14ac:dyDescent="0.35">
      <c r="A56" s="16"/>
      <c r="B56" s="465"/>
      <c r="C56" s="44" t="s">
        <v>9</v>
      </c>
      <c r="D56" s="224"/>
      <c r="E56" s="222"/>
      <c r="F56" s="222"/>
      <c r="G56" s="222"/>
      <c r="H56" s="222"/>
      <c r="I56" s="381"/>
      <c r="J56" s="232"/>
      <c r="K56" s="302"/>
      <c r="L56" s="261"/>
      <c r="M56" s="227"/>
      <c r="N56" s="16"/>
      <c r="O56" s="355"/>
      <c r="P56" s="44">
        <v>18922</v>
      </c>
      <c r="Q56" s="224" t="s">
        <v>206</v>
      </c>
      <c r="R56" s="222"/>
      <c r="S56" s="222"/>
      <c r="T56" s="222"/>
      <c r="U56" s="225"/>
      <c r="V56" s="232" t="s">
        <v>19</v>
      </c>
      <c r="W56" s="232"/>
      <c r="X56" s="302"/>
      <c r="Y56" s="226" t="s">
        <v>12</v>
      </c>
      <c r="Z56" s="227"/>
      <c r="AF56"/>
    </row>
    <row r="57" spans="1:32" s="17" customFormat="1" ht="14.25" customHeight="1" x14ac:dyDescent="0.35">
      <c r="A57" s="16"/>
      <c r="B57" s="465"/>
      <c r="C57" s="171" t="s">
        <v>9</v>
      </c>
      <c r="D57" s="234"/>
      <c r="E57" s="235"/>
      <c r="F57" s="235"/>
      <c r="G57" s="235"/>
      <c r="H57" s="236"/>
      <c r="I57" s="563"/>
      <c r="J57" s="564"/>
      <c r="K57" s="565"/>
      <c r="L57" s="261"/>
      <c r="M57" s="227"/>
      <c r="N57" s="16"/>
      <c r="O57" s="355"/>
      <c r="P57" s="44">
        <v>19278</v>
      </c>
      <c r="Q57" s="224" t="s">
        <v>80</v>
      </c>
      <c r="R57" s="222"/>
      <c r="S57" s="222"/>
      <c r="T57" s="222"/>
      <c r="U57" s="225"/>
      <c r="V57" s="231" t="s">
        <v>40</v>
      </c>
      <c r="W57" s="232"/>
      <c r="X57" s="233"/>
      <c r="Y57" s="226" t="s">
        <v>12</v>
      </c>
      <c r="Z57" s="227"/>
      <c r="AF57"/>
    </row>
    <row r="58" spans="1:32" s="17" customFormat="1" ht="16.5" customHeight="1" x14ac:dyDescent="0.35">
      <c r="A58" s="16"/>
      <c r="B58" s="466"/>
      <c r="C58" s="173">
        <v>18968</v>
      </c>
      <c r="D58" s="566" t="s">
        <v>81</v>
      </c>
      <c r="E58" s="567"/>
      <c r="F58" s="567"/>
      <c r="G58" s="567"/>
      <c r="H58" s="568"/>
      <c r="I58" s="408" t="s">
        <v>16</v>
      </c>
      <c r="J58" s="409"/>
      <c r="K58" s="410"/>
      <c r="L58" s="261" t="s">
        <v>12</v>
      </c>
      <c r="M58" s="227"/>
      <c r="N58" s="16"/>
      <c r="O58" s="356"/>
      <c r="P58" s="45" t="s">
        <v>9</v>
      </c>
      <c r="Q58" s="679"/>
      <c r="R58" s="680"/>
      <c r="S58" s="680"/>
      <c r="T58" s="680"/>
      <c r="U58" s="681"/>
      <c r="V58" s="887"/>
      <c r="W58" s="888"/>
      <c r="X58" s="889"/>
      <c r="Y58" s="346"/>
      <c r="Z58" s="347"/>
      <c r="AF58"/>
    </row>
    <row r="59" spans="1:32" s="17" customFormat="1" ht="14.15" customHeight="1" x14ac:dyDescent="0.35">
      <c r="A59" s="16"/>
      <c r="B59" s="331">
        <v>26</v>
      </c>
      <c r="C59" s="11">
        <v>1</v>
      </c>
      <c r="D59" s="658" t="s">
        <v>82</v>
      </c>
      <c r="E59" s="659"/>
      <c r="F59" s="659"/>
      <c r="G59" s="659"/>
      <c r="H59" s="666"/>
      <c r="I59" s="651" t="s">
        <v>64</v>
      </c>
      <c r="J59" s="651"/>
      <c r="K59" s="652"/>
      <c r="L59" s="651" t="s">
        <v>43</v>
      </c>
      <c r="M59" s="652"/>
      <c r="N59" s="16"/>
      <c r="O59" s="336">
        <v>25</v>
      </c>
      <c r="P59" s="12">
        <v>17710</v>
      </c>
      <c r="Q59" s="212" t="s">
        <v>83</v>
      </c>
      <c r="R59" s="213"/>
      <c r="S59" s="213"/>
      <c r="T59" s="213"/>
      <c r="U59" s="214"/>
      <c r="V59" s="292" t="s">
        <v>84</v>
      </c>
      <c r="W59" s="293"/>
      <c r="X59" s="294"/>
      <c r="Y59" s="341" t="s">
        <v>12</v>
      </c>
      <c r="Z59" s="340"/>
      <c r="AF59"/>
    </row>
    <row r="60" spans="1:32" s="17" customFormat="1" ht="14.15" customHeight="1" x14ac:dyDescent="0.35">
      <c r="A60" s="16"/>
      <c r="B60" s="332"/>
      <c r="C60" s="13">
        <v>2</v>
      </c>
      <c r="D60" s="653" t="s">
        <v>85</v>
      </c>
      <c r="E60" s="654"/>
      <c r="F60" s="654"/>
      <c r="G60" s="654"/>
      <c r="H60" s="667"/>
      <c r="I60" s="633" t="s">
        <v>42</v>
      </c>
      <c r="J60" s="633"/>
      <c r="K60" s="634"/>
      <c r="L60" s="633" t="s">
        <v>43</v>
      </c>
      <c r="M60" s="634"/>
      <c r="N60" s="16"/>
      <c r="O60" s="337"/>
      <c r="P60" s="13">
        <v>17562</v>
      </c>
      <c r="Q60" s="303" t="s">
        <v>86</v>
      </c>
      <c r="R60" s="304"/>
      <c r="S60" s="304"/>
      <c r="T60" s="304"/>
      <c r="U60" s="305"/>
      <c r="V60" s="285" t="s">
        <v>87</v>
      </c>
      <c r="W60" s="286"/>
      <c r="X60" s="287"/>
      <c r="Y60" s="226" t="s">
        <v>12</v>
      </c>
      <c r="Z60" s="227"/>
      <c r="AF60"/>
    </row>
    <row r="61" spans="1:32" s="17" customFormat="1" ht="14.25" customHeight="1" x14ac:dyDescent="0.35">
      <c r="A61" s="16"/>
      <c r="B61" s="332"/>
      <c r="C61" s="13">
        <v>3</v>
      </c>
      <c r="D61" s="653" t="s">
        <v>88</v>
      </c>
      <c r="E61" s="654"/>
      <c r="F61" s="654"/>
      <c r="G61" s="654"/>
      <c r="H61" s="667"/>
      <c r="I61" s="633" t="s">
        <v>42</v>
      </c>
      <c r="J61" s="633"/>
      <c r="K61" s="634"/>
      <c r="L61" s="633" t="s">
        <v>89</v>
      </c>
      <c r="M61" s="634"/>
      <c r="N61" s="16"/>
      <c r="O61" s="337"/>
      <c r="P61" s="13">
        <v>17529</v>
      </c>
      <c r="Q61" s="303" t="s">
        <v>90</v>
      </c>
      <c r="R61" s="304"/>
      <c r="S61" s="304"/>
      <c r="T61" s="304"/>
      <c r="U61" s="305"/>
      <c r="V61" s="285" t="s">
        <v>87</v>
      </c>
      <c r="W61" s="286"/>
      <c r="X61" s="287"/>
      <c r="Y61" s="226" t="s">
        <v>12</v>
      </c>
      <c r="Z61" s="227"/>
      <c r="AF61"/>
    </row>
    <row r="62" spans="1:32" s="17" customFormat="1" ht="14.25" customHeight="1" x14ac:dyDescent="0.35">
      <c r="A62" s="16"/>
      <c r="B62" s="333"/>
      <c r="C62" s="14">
        <v>4</v>
      </c>
      <c r="D62" s="653" t="s">
        <v>91</v>
      </c>
      <c r="E62" s="654"/>
      <c r="F62" s="654"/>
      <c r="G62" s="654"/>
      <c r="H62" s="654"/>
      <c r="I62" s="625" t="s">
        <v>42</v>
      </c>
      <c r="J62" s="626"/>
      <c r="K62" s="627"/>
      <c r="L62" s="626" t="s">
        <v>89</v>
      </c>
      <c r="M62" s="627"/>
      <c r="N62" s="16"/>
      <c r="O62" s="337"/>
      <c r="P62" s="14">
        <v>17581</v>
      </c>
      <c r="Q62" s="524" t="s">
        <v>92</v>
      </c>
      <c r="R62" s="525"/>
      <c r="S62" s="525"/>
      <c r="T62" s="525"/>
      <c r="U62" s="526"/>
      <c r="V62" s="297" t="s">
        <v>93</v>
      </c>
      <c r="W62" s="298"/>
      <c r="X62" s="299"/>
      <c r="Y62" s="346" t="s">
        <v>12</v>
      </c>
      <c r="Z62" s="347"/>
      <c r="AF62"/>
    </row>
    <row r="63" spans="1:32" s="17" customFormat="1" ht="14.15" customHeight="1" x14ac:dyDescent="0.35">
      <c r="A63" s="16"/>
      <c r="B63" s="464">
        <v>28</v>
      </c>
      <c r="C63" s="43">
        <v>5</v>
      </c>
      <c r="D63" s="631" t="s">
        <v>94</v>
      </c>
      <c r="E63" s="632"/>
      <c r="F63" s="632"/>
      <c r="G63" s="632"/>
      <c r="H63" s="632"/>
      <c r="I63" s="665" t="s">
        <v>95</v>
      </c>
      <c r="J63" s="550"/>
      <c r="K63" s="551"/>
      <c r="L63" s="550" t="s">
        <v>43</v>
      </c>
      <c r="M63" s="551"/>
      <c r="O63" s="354">
        <v>27</v>
      </c>
      <c r="P63" s="43" t="s">
        <v>9</v>
      </c>
      <c r="Q63" s="426"/>
      <c r="R63" s="427"/>
      <c r="S63" s="427"/>
      <c r="T63" s="427"/>
      <c r="U63" s="428"/>
      <c r="V63" s="533"/>
      <c r="W63" s="534"/>
      <c r="X63" s="535"/>
      <c r="Y63" s="341"/>
      <c r="Z63" s="340"/>
      <c r="AF63"/>
    </row>
    <row r="64" spans="1:32" s="17" customFormat="1" ht="14.15" customHeight="1" x14ac:dyDescent="0.35">
      <c r="A64" s="16"/>
      <c r="B64" s="465"/>
      <c r="C64" s="44">
        <v>6</v>
      </c>
      <c r="D64" s="629" t="s">
        <v>96</v>
      </c>
      <c r="E64" s="630"/>
      <c r="F64" s="630"/>
      <c r="G64" s="630"/>
      <c r="H64" s="630"/>
      <c r="I64" s="628" t="s">
        <v>42</v>
      </c>
      <c r="J64" s="548"/>
      <c r="K64" s="549"/>
      <c r="L64" s="548" t="s">
        <v>43</v>
      </c>
      <c r="M64" s="549"/>
      <c r="N64" s="16"/>
      <c r="O64" s="355"/>
      <c r="P64" s="47" t="s">
        <v>9</v>
      </c>
      <c r="Q64" s="224"/>
      <c r="R64" s="222"/>
      <c r="S64" s="222"/>
      <c r="T64" s="222"/>
      <c r="U64" s="225"/>
      <c r="V64" s="232"/>
      <c r="W64" s="232"/>
      <c r="X64" s="232"/>
      <c r="Y64" s="226"/>
      <c r="Z64" s="227"/>
      <c r="AF64"/>
    </row>
    <row r="65" spans="1:32" s="17" customFormat="1" ht="14.25" customHeight="1" x14ac:dyDescent="0.35">
      <c r="A65" s="16"/>
      <c r="B65" s="465"/>
      <c r="C65" s="44" t="s">
        <v>9</v>
      </c>
      <c r="D65" s="629"/>
      <c r="E65" s="630"/>
      <c r="F65" s="630"/>
      <c r="G65" s="630"/>
      <c r="H65" s="630"/>
      <c r="I65" s="628"/>
      <c r="J65" s="548"/>
      <c r="K65" s="549"/>
      <c r="L65" s="548"/>
      <c r="M65" s="549"/>
      <c r="N65" s="16"/>
      <c r="O65" s="355"/>
      <c r="P65" s="46">
        <v>19873</v>
      </c>
      <c r="Q65" s="203" t="s">
        <v>197</v>
      </c>
      <c r="R65" s="204"/>
      <c r="S65" s="204"/>
      <c r="T65" s="204"/>
      <c r="U65" s="205"/>
      <c r="V65" s="414" t="s">
        <v>198</v>
      </c>
      <c r="W65" s="415"/>
      <c r="X65" s="416"/>
      <c r="Y65" s="226" t="s">
        <v>12</v>
      </c>
      <c r="Z65" s="227"/>
      <c r="AF65"/>
    </row>
    <row r="66" spans="1:32" s="17" customFormat="1" ht="14.25" customHeight="1" x14ac:dyDescent="0.35">
      <c r="A66" s="16"/>
      <c r="B66" s="466"/>
      <c r="C66" s="46">
        <v>8</v>
      </c>
      <c r="D66" s="351" t="s">
        <v>97</v>
      </c>
      <c r="E66" s="352"/>
      <c r="F66" s="352"/>
      <c r="G66" s="352"/>
      <c r="H66" s="352"/>
      <c r="I66" s="576" t="s">
        <v>42</v>
      </c>
      <c r="J66" s="249"/>
      <c r="K66" s="577"/>
      <c r="L66" s="548" t="s">
        <v>43</v>
      </c>
      <c r="M66" s="549"/>
      <c r="N66" s="16"/>
      <c r="O66" s="356"/>
      <c r="P66" s="165">
        <v>19994</v>
      </c>
      <c r="Q66" s="375" t="s">
        <v>98</v>
      </c>
      <c r="R66" s="376"/>
      <c r="S66" s="376"/>
      <c r="T66" s="376"/>
      <c r="U66" s="377"/>
      <c r="V66" s="248" t="s">
        <v>40</v>
      </c>
      <c r="W66" s="249"/>
      <c r="X66" s="250"/>
      <c r="Y66" s="591" t="s">
        <v>12</v>
      </c>
      <c r="Z66" s="592"/>
      <c r="AF66"/>
    </row>
    <row r="67" spans="1:32" s="17" customFormat="1" ht="14.15" customHeight="1" x14ac:dyDescent="0.35">
      <c r="A67" s="16"/>
      <c r="B67" s="331">
        <v>30</v>
      </c>
      <c r="C67" s="11">
        <v>19504</v>
      </c>
      <c r="D67" s="303" t="s">
        <v>99</v>
      </c>
      <c r="E67" s="304"/>
      <c r="F67" s="304"/>
      <c r="G67" s="304"/>
      <c r="H67" s="304"/>
      <c r="I67" s="668" t="s">
        <v>11</v>
      </c>
      <c r="J67" s="207"/>
      <c r="K67" s="208"/>
      <c r="L67" s="401" t="s">
        <v>12</v>
      </c>
      <c r="M67" s="402"/>
      <c r="N67" s="16"/>
      <c r="O67" s="336">
        <v>29</v>
      </c>
      <c r="P67" s="195">
        <v>19973</v>
      </c>
      <c r="Q67" s="212" t="s">
        <v>199</v>
      </c>
      <c r="R67" s="213"/>
      <c r="S67" s="213"/>
      <c r="T67" s="213"/>
      <c r="U67" s="214"/>
      <c r="V67" s="292" t="s">
        <v>200</v>
      </c>
      <c r="W67" s="293"/>
      <c r="X67" s="294"/>
      <c r="Y67" s="246" t="s">
        <v>12</v>
      </c>
      <c r="Z67" s="247"/>
      <c r="AF67"/>
    </row>
    <row r="68" spans="1:32" s="17" customFormat="1" ht="13.5" customHeight="1" x14ac:dyDescent="0.35">
      <c r="A68" s="16"/>
      <c r="B68" s="332"/>
      <c r="C68" s="13">
        <v>19745</v>
      </c>
      <c r="D68" s="303" t="s">
        <v>100</v>
      </c>
      <c r="E68" s="304"/>
      <c r="F68" s="304"/>
      <c r="G68" s="304"/>
      <c r="H68" s="304"/>
      <c r="I68" s="682" t="s">
        <v>11</v>
      </c>
      <c r="J68" s="293"/>
      <c r="K68" s="293"/>
      <c r="L68" s="226" t="s">
        <v>12</v>
      </c>
      <c r="M68" s="227"/>
      <c r="N68" s="16"/>
      <c r="O68" s="337"/>
      <c r="P68" s="13" t="s">
        <v>9</v>
      </c>
      <c r="Q68" s="303"/>
      <c r="R68" s="304"/>
      <c r="S68" s="304"/>
      <c r="T68" s="304"/>
      <c r="U68" s="305"/>
      <c r="V68" s="285"/>
      <c r="W68" s="286"/>
      <c r="X68" s="287"/>
      <c r="Y68" s="283"/>
      <c r="Z68" s="284"/>
      <c r="AF68"/>
    </row>
    <row r="69" spans="1:32" s="17" customFormat="1" ht="14.25" customHeight="1" x14ac:dyDescent="0.35">
      <c r="A69" s="16"/>
      <c r="B69" s="332"/>
      <c r="C69" s="13">
        <v>17798</v>
      </c>
      <c r="D69" s="303" t="s">
        <v>101</v>
      </c>
      <c r="E69" s="304"/>
      <c r="F69" s="304"/>
      <c r="G69" s="304"/>
      <c r="H69" s="304"/>
      <c r="I69" s="387" t="s">
        <v>84</v>
      </c>
      <c r="J69" s="286"/>
      <c r="K69" s="287"/>
      <c r="L69" s="226" t="s">
        <v>12</v>
      </c>
      <c r="M69" s="227"/>
      <c r="N69" s="16"/>
      <c r="O69" s="337"/>
      <c r="P69" s="13">
        <v>18480</v>
      </c>
      <c r="Q69" s="303" t="s">
        <v>203</v>
      </c>
      <c r="R69" s="304"/>
      <c r="S69" s="304"/>
      <c r="T69" s="304"/>
      <c r="U69" s="305"/>
      <c r="V69" s="285" t="s">
        <v>204</v>
      </c>
      <c r="W69" s="286"/>
      <c r="X69" s="287"/>
      <c r="Y69" s="283" t="s">
        <v>12</v>
      </c>
      <c r="Z69" s="284"/>
      <c r="AF69"/>
    </row>
    <row r="70" spans="1:32" s="17" customFormat="1" ht="16.5" customHeight="1" x14ac:dyDescent="0.35">
      <c r="A70" s="16"/>
      <c r="B70" s="333"/>
      <c r="C70" s="14">
        <v>17740</v>
      </c>
      <c r="D70" s="316" t="s">
        <v>102</v>
      </c>
      <c r="E70" s="317"/>
      <c r="F70" s="317"/>
      <c r="G70" s="317"/>
      <c r="H70" s="317"/>
      <c r="I70" s="669" t="s">
        <v>103</v>
      </c>
      <c r="J70" s="320"/>
      <c r="K70" s="320"/>
      <c r="L70" s="394" t="s">
        <v>12</v>
      </c>
      <c r="M70" s="395"/>
      <c r="N70" s="16"/>
      <c r="O70" s="338"/>
      <c r="P70" s="65" t="s">
        <v>9</v>
      </c>
      <c r="Q70" s="695"/>
      <c r="R70" s="696"/>
      <c r="S70" s="696"/>
      <c r="T70" s="696"/>
      <c r="U70" s="697"/>
      <c r="V70" s="319"/>
      <c r="W70" s="320"/>
      <c r="X70" s="321"/>
      <c r="Y70" s="346"/>
      <c r="Z70" s="347"/>
      <c r="AF70"/>
    </row>
    <row r="71" spans="1:32" s="17" customFormat="1" ht="14.15" customHeight="1" x14ac:dyDescent="0.35">
      <c r="A71" s="16"/>
      <c r="B71" s="464">
        <v>32</v>
      </c>
      <c r="C71" s="151">
        <v>19886</v>
      </c>
      <c r="D71" s="224" t="s">
        <v>208</v>
      </c>
      <c r="E71" s="222"/>
      <c r="F71" s="222"/>
      <c r="G71" s="222"/>
      <c r="H71" s="225"/>
      <c r="I71" s="262" t="s">
        <v>128</v>
      </c>
      <c r="J71" s="263"/>
      <c r="K71" s="264"/>
      <c r="L71" s="401" t="s">
        <v>12</v>
      </c>
      <c r="M71" s="402"/>
      <c r="N71" s="16"/>
      <c r="O71" s="354">
        <v>31</v>
      </c>
      <c r="P71" s="44" t="s">
        <v>9</v>
      </c>
      <c r="Q71" s="676"/>
      <c r="R71" s="222"/>
      <c r="S71" s="222"/>
      <c r="T71" s="222"/>
      <c r="U71" s="225"/>
      <c r="V71" s="231"/>
      <c r="W71" s="232"/>
      <c r="X71" s="233"/>
      <c r="Y71" s="401"/>
      <c r="Z71" s="402"/>
      <c r="AF71"/>
    </row>
    <row r="72" spans="1:32" s="17" customFormat="1" ht="14.15" customHeight="1" x14ac:dyDescent="0.35">
      <c r="A72" s="16"/>
      <c r="B72" s="465"/>
      <c r="C72" s="44" t="s">
        <v>9</v>
      </c>
      <c r="D72" s="224"/>
      <c r="E72" s="222"/>
      <c r="F72" s="222"/>
      <c r="G72" s="222"/>
      <c r="H72" s="222"/>
      <c r="I72" s="381"/>
      <c r="J72" s="232"/>
      <c r="K72" s="233"/>
      <c r="L72" s="231"/>
      <c r="M72" s="233"/>
      <c r="N72" s="16"/>
      <c r="O72" s="355"/>
      <c r="P72" s="44" t="s">
        <v>9</v>
      </c>
      <c r="Q72" s="814"/>
      <c r="R72" s="815"/>
      <c r="S72" s="815"/>
      <c r="T72" s="815"/>
      <c r="U72" s="816"/>
      <c r="V72" s="232"/>
      <c r="W72" s="232"/>
      <c r="X72" s="302"/>
      <c r="Y72" s="231"/>
      <c r="Z72" s="233"/>
      <c r="AF72"/>
    </row>
    <row r="73" spans="1:32" s="17" customFormat="1" ht="14.25" customHeight="1" x14ac:dyDescent="0.35">
      <c r="A73" s="16"/>
      <c r="B73" s="465"/>
      <c r="C73" s="44">
        <v>19547</v>
      </c>
      <c r="D73" s="224" t="s">
        <v>214</v>
      </c>
      <c r="E73" s="222"/>
      <c r="F73" s="222"/>
      <c r="G73" s="222"/>
      <c r="H73" s="225"/>
      <c r="I73" s="231" t="s">
        <v>215</v>
      </c>
      <c r="J73" s="232"/>
      <c r="K73" s="233"/>
      <c r="L73" s="231" t="s">
        <v>12</v>
      </c>
      <c r="M73" s="233"/>
      <c r="N73" s="16"/>
      <c r="O73" s="355"/>
      <c r="P73" s="44">
        <v>19722</v>
      </c>
      <c r="Q73" s="224" t="s">
        <v>278</v>
      </c>
      <c r="R73" s="222"/>
      <c r="S73" s="222"/>
      <c r="T73" s="222"/>
      <c r="U73" s="225"/>
      <c r="V73" s="231" t="s">
        <v>11</v>
      </c>
      <c r="W73" s="232"/>
      <c r="X73" s="233"/>
      <c r="Y73" s="226" t="s">
        <v>12</v>
      </c>
      <c r="Z73" s="227"/>
      <c r="AF73"/>
    </row>
    <row r="74" spans="1:32" s="17" customFormat="1" ht="16.5" customHeight="1" x14ac:dyDescent="0.35">
      <c r="A74" s="16"/>
      <c r="B74" s="466"/>
      <c r="C74" s="45">
        <v>19308</v>
      </c>
      <c r="D74" s="351" t="s">
        <v>104</v>
      </c>
      <c r="E74" s="352"/>
      <c r="F74" s="352"/>
      <c r="G74" s="352"/>
      <c r="H74" s="352"/>
      <c r="I74" s="576" t="s">
        <v>29</v>
      </c>
      <c r="J74" s="249"/>
      <c r="K74" s="249"/>
      <c r="L74" s="248" t="s">
        <v>12</v>
      </c>
      <c r="M74" s="250"/>
      <c r="N74" s="16"/>
      <c r="O74" s="356"/>
      <c r="P74" s="45">
        <v>19642</v>
      </c>
      <c r="Q74" s="432" t="s">
        <v>207</v>
      </c>
      <c r="R74" s="433"/>
      <c r="S74" s="433"/>
      <c r="T74" s="433"/>
      <c r="U74" s="434"/>
      <c r="V74" s="417" t="s">
        <v>19</v>
      </c>
      <c r="W74" s="418"/>
      <c r="X74" s="419"/>
      <c r="Y74" s="248" t="s">
        <v>12</v>
      </c>
      <c r="Z74" s="250"/>
      <c r="AF74"/>
    </row>
    <row r="75" spans="1:32" s="17" customFormat="1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F75"/>
    </row>
    <row r="76" spans="1:32" ht="16" thickBot="1" x14ac:dyDescent="0.4">
      <c r="P76" s="140"/>
      <c r="Q76" s="638"/>
      <c r="R76" s="638"/>
      <c r="S76" s="638"/>
      <c r="T76" s="638"/>
      <c r="U76" s="638"/>
      <c r="V76" s="866"/>
      <c r="W76" s="866"/>
      <c r="X76" s="866"/>
    </row>
    <row r="77" spans="1:32" ht="14.5" customHeight="1" x14ac:dyDescent="0.35">
      <c r="C77" s="322" t="s">
        <v>105</v>
      </c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6"/>
      <c r="Q77" s="326"/>
      <c r="R77" s="326"/>
      <c r="S77" s="326"/>
      <c r="T77" s="326"/>
      <c r="U77" s="326"/>
      <c r="V77" s="326"/>
      <c r="W77" s="326"/>
      <c r="X77" s="326"/>
      <c r="Y77" s="323"/>
      <c r="Z77" s="324"/>
    </row>
    <row r="78" spans="1:32" ht="14.5" customHeight="1" x14ac:dyDescent="0.35">
      <c r="C78" s="325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7"/>
    </row>
    <row r="79" spans="1:32" ht="15" customHeight="1" thickBot="1" x14ac:dyDescent="0.4">
      <c r="C79" s="328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30"/>
    </row>
    <row r="80" spans="1:32" ht="18.5" customHeight="1" x14ac:dyDescent="0.35">
      <c r="C80"/>
      <c r="D80"/>
      <c r="E80"/>
      <c r="F80"/>
      <c r="G80"/>
      <c r="H80"/>
      <c r="I80"/>
      <c r="J80"/>
      <c r="K80"/>
      <c r="L80"/>
      <c r="M80"/>
      <c r="N80"/>
      <c r="O80"/>
      <c r="Q80"/>
      <c r="R80"/>
      <c r="S80"/>
      <c r="T80"/>
      <c r="U80"/>
      <c r="V80"/>
      <c r="W80"/>
      <c r="X80"/>
      <c r="Y80"/>
      <c r="Z80"/>
    </row>
    <row r="81" spans="2:27" ht="23.5" customHeight="1" x14ac:dyDescent="0.35">
      <c r="B81" s="454"/>
      <c r="C81" s="454"/>
      <c r="D81" s="454"/>
      <c r="E81" s="455" t="s">
        <v>106</v>
      </c>
      <c r="F81" s="274"/>
      <c r="G81" s="274"/>
      <c r="H81" s="274"/>
      <c r="I81" s="274"/>
      <c r="J81" s="274"/>
      <c r="K81" s="274"/>
      <c r="L81" s="274"/>
      <c r="M81" s="275"/>
      <c r="N81"/>
      <c r="O81" s="237"/>
      <c r="P81" s="238"/>
      <c r="Q81" s="239"/>
      <c r="R81" s="274" t="s">
        <v>107</v>
      </c>
      <c r="S81" s="274"/>
      <c r="T81" s="274"/>
      <c r="U81" s="274"/>
      <c r="V81" s="274"/>
      <c r="W81" s="274"/>
      <c r="X81" s="274"/>
      <c r="Y81" s="274"/>
      <c r="Z81" s="275"/>
    </row>
    <row r="82" spans="2:27" ht="3.5" hidden="1" customHeight="1" x14ac:dyDescent="0.35">
      <c r="B82" s="454"/>
      <c r="C82" s="454"/>
      <c r="D82" s="454"/>
      <c r="E82" s="456"/>
      <c r="F82" s="276"/>
      <c r="G82" s="276"/>
      <c r="H82" s="276"/>
      <c r="I82" s="276"/>
      <c r="J82" s="276"/>
      <c r="K82" s="276"/>
      <c r="L82" s="276"/>
      <c r="M82" s="277"/>
      <c r="N82"/>
      <c r="O82" s="240"/>
      <c r="P82" s="241"/>
      <c r="Q82" s="242"/>
      <c r="R82" s="276"/>
      <c r="S82" s="276"/>
      <c r="T82" s="276"/>
      <c r="U82" s="276"/>
      <c r="V82" s="276"/>
      <c r="W82" s="276"/>
      <c r="X82" s="276"/>
      <c r="Y82" s="276"/>
      <c r="Z82" s="277"/>
    </row>
    <row r="83" spans="2:27" ht="14.75" hidden="1" customHeight="1" x14ac:dyDescent="0.35">
      <c r="B83" s="454"/>
      <c r="C83" s="454"/>
      <c r="D83" s="454"/>
      <c r="E83" s="457"/>
      <c r="F83" s="278"/>
      <c r="G83" s="278"/>
      <c r="H83" s="278"/>
      <c r="I83" s="278"/>
      <c r="J83" s="278"/>
      <c r="K83" s="278"/>
      <c r="L83" s="278"/>
      <c r="M83" s="279"/>
      <c r="N83"/>
      <c r="O83" s="243"/>
      <c r="P83" s="244"/>
      <c r="Q83" s="245"/>
      <c r="R83" s="278"/>
      <c r="S83" s="278"/>
      <c r="T83" s="278"/>
      <c r="U83" s="278"/>
      <c r="V83" s="278"/>
      <c r="W83" s="278"/>
      <c r="X83" s="278"/>
      <c r="Y83" s="278"/>
      <c r="Z83" s="279"/>
    </row>
    <row r="84" spans="2:27" ht="15" customHeight="1" x14ac:dyDescent="0.35">
      <c r="B84" s="138" t="s">
        <v>4</v>
      </c>
      <c r="C84" s="138" t="s">
        <v>5</v>
      </c>
      <c r="D84" s="280" t="s">
        <v>108</v>
      </c>
      <c r="E84" s="281"/>
      <c r="F84" s="281"/>
      <c r="G84" s="281"/>
      <c r="H84" s="282"/>
      <c r="I84" s="280" t="s">
        <v>7</v>
      </c>
      <c r="J84" s="281"/>
      <c r="K84" s="282"/>
      <c r="L84" s="280" t="s">
        <v>8</v>
      </c>
      <c r="M84" s="282"/>
      <c r="N84" s="139"/>
      <c r="O84" s="138" t="s">
        <v>4</v>
      </c>
      <c r="P84" s="138" t="s">
        <v>5</v>
      </c>
      <c r="Q84" s="280" t="s">
        <v>108</v>
      </c>
      <c r="R84" s="281"/>
      <c r="S84" s="281"/>
      <c r="T84" s="281"/>
      <c r="U84" s="282"/>
      <c r="V84" s="280" t="s">
        <v>7</v>
      </c>
      <c r="W84" s="281"/>
      <c r="X84" s="282"/>
      <c r="Y84" s="850" t="s">
        <v>8</v>
      </c>
      <c r="Z84" s="851"/>
    </row>
    <row r="85" spans="2:27" ht="14.5" customHeight="1" x14ac:dyDescent="0.35">
      <c r="B85" s="336">
        <v>34</v>
      </c>
      <c r="C85" s="142"/>
      <c r="D85" s="445" t="s">
        <v>109</v>
      </c>
      <c r="E85" s="446"/>
      <c r="F85" s="446"/>
      <c r="G85" s="446"/>
      <c r="H85" s="447"/>
      <c r="I85" s="206" t="s">
        <v>110</v>
      </c>
      <c r="J85" s="207"/>
      <c r="K85" s="208"/>
      <c r="L85" s="451" t="s">
        <v>12</v>
      </c>
      <c r="M85" s="452"/>
      <c r="N85" s="78"/>
      <c r="O85" s="336">
        <v>33</v>
      </c>
      <c r="P85" s="11" t="s">
        <v>9</v>
      </c>
      <c r="Q85" s="185"/>
      <c r="R85" s="186"/>
      <c r="S85" s="186"/>
      <c r="T85" s="186"/>
      <c r="U85" s="187"/>
      <c r="V85" s="206"/>
      <c r="W85" s="207"/>
      <c r="X85" s="208"/>
      <c r="Y85" s="246"/>
      <c r="Z85" s="891"/>
      <c r="AA85" s="73"/>
    </row>
    <row r="86" spans="2:27" ht="14.5" customHeight="1" x14ac:dyDescent="0.35">
      <c r="B86" s="337"/>
      <c r="C86" s="159">
        <v>20003</v>
      </c>
      <c r="D86" s="692" t="s">
        <v>111</v>
      </c>
      <c r="E86" s="693"/>
      <c r="F86" s="693"/>
      <c r="G86" s="693"/>
      <c r="H86" s="694"/>
      <c r="I86" s="313" t="s">
        <v>112</v>
      </c>
      <c r="J86" s="314"/>
      <c r="K86" s="315"/>
      <c r="L86" s="283" t="s">
        <v>12</v>
      </c>
      <c r="M86" s="284"/>
      <c r="N86"/>
      <c r="O86" s="337"/>
      <c r="P86" s="74"/>
      <c r="Q86" s="892" t="s">
        <v>113</v>
      </c>
      <c r="R86" s="893"/>
      <c r="S86" s="893"/>
      <c r="T86" s="893"/>
      <c r="U86" s="894"/>
      <c r="V86" s="292" t="s">
        <v>42</v>
      </c>
      <c r="W86" s="293"/>
      <c r="X86" s="294"/>
      <c r="Y86" s="283" t="s">
        <v>114</v>
      </c>
      <c r="Z86" s="284"/>
    </row>
    <row r="87" spans="2:27" ht="14.5" customHeight="1" x14ac:dyDescent="0.35">
      <c r="B87" s="337"/>
      <c r="C87" s="13">
        <v>19573</v>
      </c>
      <c r="D87" s="303" t="s">
        <v>115</v>
      </c>
      <c r="E87" s="304"/>
      <c r="F87" s="304"/>
      <c r="G87" s="304"/>
      <c r="H87" s="305"/>
      <c r="I87" s="285" t="s">
        <v>116</v>
      </c>
      <c r="J87" s="286"/>
      <c r="K87" s="287"/>
      <c r="L87" s="226" t="s">
        <v>12</v>
      </c>
      <c r="M87" s="227"/>
      <c r="N87"/>
      <c r="O87" s="337"/>
      <c r="P87" s="13"/>
      <c r="Q87" s="847" t="s">
        <v>117</v>
      </c>
      <c r="R87" s="848"/>
      <c r="S87" s="848"/>
      <c r="T87" s="848"/>
      <c r="U87" s="849"/>
      <c r="V87" s="285" t="s">
        <v>42</v>
      </c>
      <c r="W87" s="286"/>
      <c r="X87" s="287"/>
      <c r="Y87" s="283" t="s">
        <v>114</v>
      </c>
      <c r="Z87" s="284"/>
    </row>
    <row r="88" spans="2:27" ht="14.5" customHeight="1" x14ac:dyDescent="0.35">
      <c r="B88" s="338"/>
      <c r="C88" s="14" t="s">
        <v>9</v>
      </c>
      <c r="D88" s="303"/>
      <c r="E88" s="304"/>
      <c r="F88" s="304"/>
      <c r="G88" s="304"/>
      <c r="H88" s="305"/>
      <c r="I88" s="285"/>
      <c r="J88" s="286"/>
      <c r="K88" s="287"/>
      <c r="L88" s="259"/>
      <c r="M88" s="260"/>
      <c r="N88"/>
      <c r="O88" s="338"/>
      <c r="P88" s="14"/>
      <c r="Q88" s="524" t="s">
        <v>118</v>
      </c>
      <c r="R88" s="525"/>
      <c r="S88" s="525"/>
      <c r="T88" s="525"/>
      <c r="U88" s="526"/>
      <c r="V88" s="297" t="s">
        <v>42</v>
      </c>
      <c r="W88" s="298"/>
      <c r="X88" s="299"/>
      <c r="Y88" s="259" t="s">
        <v>114</v>
      </c>
      <c r="Z88" s="260"/>
    </row>
    <row r="89" spans="2:27" ht="14.5" customHeight="1" x14ac:dyDescent="0.35">
      <c r="B89" s="355">
        <v>36</v>
      </c>
      <c r="C89" s="43">
        <v>18141</v>
      </c>
      <c r="D89" s="458" t="s">
        <v>119</v>
      </c>
      <c r="E89" s="459"/>
      <c r="F89" s="459"/>
      <c r="G89" s="459"/>
      <c r="H89" s="460"/>
      <c r="I89" s="262" t="s">
        <v>120</v>
      </c>
      <c r="J89" s="263"/>
      <c r="K89" s="590"/>
      <c r="L89" s="232" t="s">
        <v>12</v>
      </c>
      <c r="M89" s="233"/>
      <c r="N89"/>
      <c r="O89" s="355">
        <v>35</v>
      </c>
      <c r="P89" s="43" t="s">
        <v>9</v>
      </c>
      <c r="Q89" s="458"/>
      <c r="R89" s="459"/>
      <c r="S89" s="459"/>
      <c r="T89" s="459"/>
      <c r="U89" s="460"/>
      <c r="V89" s="262"/>
      <c r="W89" s="263"/>
      <c r="X89" s="590"/>
      <c r="Y89" s="339"/>
      <c r="Z89" s="340"/>
    </row>
    <row r="90" spans="2:27" ht="14.5" customHeight="1" x14ac:dyDescent="0.35">
      <c r="B90" s="355"/>
      <c r="C90" s="44">
        <v>17921</v>
      </c>
      <c r="D90" s="224" t="s">
        <v>121</v>
      </c>
      <c r="E90" s="222"/>
      <c r="F90" s="222"/>
      <c r="G90" s="222"/>
      <c r="H90" s="225"/>
      <c r="I90" s="231" t="s">
        <v>122</v>
      </c>
      <c r="J90" s="232"/>
      <c r="K90" s="302"/>
      <c r="L90" s="261" t="s">
        <v>12</v>
      </c>
      <c r="M90" s="227"/>
      <c r="N90"/>
      <c r="O90" s="355"/>
      <c r="P90" s="44">
        <v>19592</v>
      </c>
      <c r="Q90" s="224" t="s">
        <v>123</v>
      </c>
      <c r="R90" s="222"/>
      <c r="S90" s="222"/>
      <c r="T90" s="222"/>
      <c r="U90" s="225"/>
      <c r="V90" s="231" t="s">
        <v>42</v>
      </c>
      <c r="W90" s="232"/>
      <c r="X90" s="302"/>
      <c r="Y90" s="261" t="s">
        <v>12</v>
      </c>
      <c r="Z90" s="227"/>
    </row>
    <row r="91" spans="2:27" ht="14.5" customHeight="1" x14ac:dyDescent="0.35">
      <c r="B91" s="355"/>
      <c r="C91" s="44" t="s">
        <v>9</v>
      </c>
      <c r="D91" s="224"/>
      <c r="E91" s="222"/>
      <c r="F91" s="222"/>
      <c r="G91" s="222"/>
      <c r="H91" s="225"/>
      <c r="I91" s="231"/>
      <c r="J91" s="232"/>
      <c r="K91" s="302"/>
      <c r="L91" s="261"/>
      <c r="M91" s="227"/>
      <c r="N91"/>
      <c r="O91" s="355"/>
      <c r="P91" s="44">
        <v>19765</v>
      </c>
      <c r="Q91" s="224" t="s">
        <v>124</v>
      </c>
      <c r="R91" s="222"/>
      <c r="S91" s="222"/>
      <c r="T91" s="222"/>
      <c r="U91" s="225"/>
      <c r="V91" s="231" t="s">
        <v>40</v>
      </c>
      <c r="W91" s="232"/>
      <c r="X91" s="302"/>
      <c r="Y91" s="261" t="s">
        <v>12</v>
      </c>
      <c r="Z91" s="227"/>
    </row>
    <row r="92" spans="2:27" ht="14.5" customHeight="1" x14ac:dyDescent="0.35">
      <c r="B92" s="356"/>
      <c r="C92" s="45">
        <v>19297</v>
      </c>
      <c r="D92" s="351" t="s">
        <v>125</v>
      </c>
      <c r="E92" s="352"/>
      <c r="F92" s="352"/>
      <c r="G92" s="352"/>
      <c r="H92" s="353"/>
      <c r="I92" s="248" t="s">
        <v>126</v>
      </c>
      <c r="J92" s="249"/>
      <c r="K92" s="577"/>
      <c r="L92" s="597" t="s">
        <v>12</v>
      </c>
      <c r="M92" s="301"/>
      <c r="N92"/>
      <c r="O92" s="356"/>
      <c r="P92" s="45" t="s">
        <v>9</v>
      </c>
      <c r="Q92" s="351"/>
      <c r="R92" s="352"/>
      <c r="S92" s="352"/>
      <c r="T92" s="352"/>
      <c r="U92" s="353"/>
      <c r="V92" s="248"/>
      <c r="W92" s="249"/>
      <c r="X92" s="577"/>
      <c r="Y92" s="490"/>
      <c r="Z92" s="347"/>
    </row>
    <row r="93" spans="2:27" ht="14.5" customHeight="1" x14ac:dyDescent="0.35">
      <c r="B93" s="336">
        <v>38</v>
      </c>
      <c r="C93" s="11" t="s">
        <v>9</v>
      </c>
      <c r="D93" s="303"/>
      <c r="E93" s="304"/>
      <c r="F93" s="304"/>
      <c r="G93" s="304"/>
      <c r="H93" s="305"/>
      <c r="I93" s="206"/>
      <c r="J93" s="207"/>
      <c r="K93" s="598"/>
      <c r="L93" s="593"/>
      <c r="M93" s="452"/>
      <c r="N93"/>
      <c r="O93" s="635">
        <v>37</v>
      </c>
      <c r="P93" s="11" t="s">
        <v>9</v>
      </c>
      <c r="Q93" s="303"/>
      <c r="R93" s="304"/>
      <c r="S93" s="304"/>
      <c r="T93" s="304"/>
      <c r="U93" s="305"/>
      <c r="V93" s="206"/>
      <c r="W93" s="207"/>
      <c r="X93" s="598"/>
      <c r="Y93" s="438"/>
      <c r="Z93" s="247"/>
    </row>
    <row r="94" spans="2:27" ht="14.5" customHeight="1" x14ac:dyDescent="0.35">
      <c r="B94" s="337"/>
      <c r="C94" s="13">
        <v>18303</v>
      </c>
      <c r="D94" s="303" t="s">
        <v>129</v>
      </c>
      <c r="E94" s="304"/>
      <c r="F94" s="304"/>
      <c r="G94" s="304"/>
      <c r="H94" s="305"/>
      <c r="I94" s="285" t="s">
        <v>64</v>
      </c>
      <c r="J94" s="286"/>
      <c r="K94" s="388"/>
      <c r="L94" s="491" t="s">
        <v>12</v>
      </c>
      <c r="M94" s="284"/>
      <c r="N94"/>
      <c r="O94" s="636"/>
      <c r="P94" s="162" t="s">
        <v>9</v>
      </c>
      <c r="Q94" s="303"/>
      <c r="R94" s="304"/>
      <c r="S94" s="304"/>
      <c r="T94" s="304"/>
      <c r="U94" s="305"/>
      <c r="V94" s="285"/>
      <c r="W94" s="286"/>
      <c r="X94" s="388"/>
      <c r="Y94" s="491"/>
      <c r="Z94" s="284"/>
    </row>
    <row r="95" spans="2:27" ht="14.5" customHeight="1" x14ac:dyDescent="0.35">
      <c r="B95" s="337"/>
      <c r="C95" s="13">
        <v>18537</v>
      </c>
      <c r="D95" s="303" t="s">
        <v>209</v>
      </c>
      <c r="E95" s="304"/>
      <c r="F95" s="304"/>
      <c r="G95" s="304"/>
      <c r="H95" s="305"/>
      <c r="I95" s="285" t="s">
        <v>122</v>
      </c>
      <c r="J95" s="286"/>
      <c r="K95" s="287"/>
      <c r="L95" s="491" t="s">
        <v>12</v>
      </c>
      <c r="M95" s="284"/>
      <c r="N95"/>
      <c r="O95" s="636"/>
      <c r="P95" s="13" t="s">
        <v>9</v>
      </c>
      <c r="Q95" s="303"/>
      <c r="R95" s="304"/>
      <c r="S95" s="304"/>
      <c r="T95" s="304"/>
      <c r="U95" s="305"/>
      <c r="V95" s="286"/>
      <c r="W95" s="286"/>
      <c r="X95" s="388"/>
      <c r="Y95" s="491"/>
      <c r="Z95" s="284"/>
    </row>
    <row r="96" spans="2:27" ht="14.5" customHeight="1" x14ac:dyDescent="0.35">
      <c r="B96" s="338"/>
      <c r="C96" s="161" t="s">
        <v>9</v>
      </c>
      <c r="D96" s="606"/>
      <c r="E96" s="607"/>
      <c r="F96" s="607"/>
      <c r="G96" s="607"/>
      <c r="H96" s="608"/>
      <c r="I96" s="297"/>
      <c r="J96" s="298"/>
      <c r="K96" s="688"/>
      <c r="L96" s="561"/>
      <c r="M96" s="260"/>
      <c r="N96"/>
      <c r="O96" s="637"/>
      <c r="P96" s="14" t="s">
        <v>9</v>
      </c>
      <c r="Q96" s="303"/>
      <c r="R96" s="304"/>
      <c r="S96" s="304"/>
      <c r="T96" s="304"/>
      <c r="U96" s="305"/>
      <c r="V96" s="298"/>
      <c r="W96" s="298"/>
      <c r="X96" s="688"/>
      <c r="Y96" s="561"/>
      <c r="Z96" s="260"/>
    </row>
    <row r="97" spans="2:26" ht="14.5" customHeight="1" x14ac:dyDescent="0.35">
      <c r="B97" s="354">
        <v>40</v>
      </c>
      <c r="C97" s="166" t="s">
        <v>9</v>
      </c>
      <c r="D97" s="594"/>
      <c r="E97" s="595"/>
      <c r="F97" s="595"/>
      <c r="G97" s="595"/>
      <c r="H97" s="596"/>
      <c r="I97" s="504"/>
      <c r="J97" s="504"/>
      <c r="K97" s="599"/>
      <c r="L97" s="593"/>
      <c r="M97" s="452"/>
      <c r="N97"/>
      <c r="O97" s="354">
        <v>39</v>
      </c>
      <c r="P97" s="43" t="s">
        <v>9</v>
      </c>
      <c r="Q97" s="458"/>
      <c r="R97" s="459"/>
      <c r="S97" s="459"/>
      <c r="T97" s="459"/>
      <c r="U97" s="460"/>
      <c r="V97" s="262"/>
      <c r="W97" s="263"/>
      <c r="X97" s="57"/>
      <c r="Y97" s="341"/>
      <c r="Z97" s="340"/>
    </row>
    <row r="98" spans="2:26" ht="14.5" customHeight="1" x14ac:dyDescent="0.35">
      <c r="B98" s="355"/>
      <c r="C98" s="44">
        <v>18879</v>
      </c>
      <c r="D98" s="420" t="s">
        <v>210</v>
      </c>
      <c r="E98" s="421"/>
      <c r="F98" s="421"/>
      <c r="G98" s="421"/>
      <c r="H98" s="422"/>
      <c r="I98" s="414" t="s">
        <v>25</v>
      </c>
      <c r="J98" s="415"/>
      <c r="K98" s="416"/>
      <c r="L98" s="491" t="s">
        <v>12</v>
      </c>
      <c r="M98" s="284"/>
      <c r="N98"/>
      <c r="O98" s="355"/>
      <c r="P98" s="44">
        <v>17858</v>
      </c>
      <c r="Q98" s="224" t="s">
        <v>130</v>
      </c>
      <c r="R98" s="222"/>
      <c r="S98" s="222"/>
      <c r="T98" s="222"/>
      <c r="U98" s="225"/>
      <c r="V98" s="231" t="s">
        <v>131</v>
      </c>
      <c r="W98" s="232"/>
      <c r="X98" s="55"/>
      <c r="Y98" s="226" t="s">
        <v>12</v>
      </c>
      <c r="Z98" s="227"/>
    </row>
    <row r="99" spans="2:26" ht="14.5" customHeight="1" x14ac:dyDescent="0.35">
      <c r="B99" s="355"/>
      <c r="C99" s="163">
        <v>19301</v>
      </c>
      <c r="D99" s="372" t="s">
        <v>132</v>
      </c>
      <c r="E99" s="373"/>
      <c r="F99" s="373"/>
      <c r="G99" s="373"/>
      <c r="H99" s="374"/>
      <c r="I99" s="394" t="s">
        <v>21</v>
      </c>
      <c r="J99" s="370"/>
      <c r="K99" s="371"/>
      <c r="L99" s="491" t="s">
        <v>12</v>
      </c>
      <c r="M99" s="284"/>
      <c r="N99"/>
      <c r="O99" s="355"/>
      <c r="P99" s="44"/>
      <c r="Q99" s="224" t="s">
        <v>133</v>
      </c>
      <c r="R99" s="222"/>
      <c r="S99" s="222"/>
      <c r="T99" s="222"/>
      <c r="U99" s="225"/>
      <c r="V99" s="231" t="s">
        <v>42</v>
      </c>
      <c r="W99" s="232"/>
      <c r="X99" s="55"/>
      <c r="Y99" s="226" t="s">
        <v>12</v>
      </c>
      <c r="Z99" s="227"/>
    </row>
    <row r="100" spans="2:26" ht="14.5" customHeight="1" x14ac:dyDescent="0.35">
      <c r="B100" s="356"/>
      <c r="C100" s="164" t="s">
        <v>9</v>
      </c>
      <c r="D100" s="351"/>
      <c r="E100" s="352"/>
      <c r="F100" s="352"/>
      <c r="G100" s="352"/>
      <c r="H100" s="353"/>
      <c r="I100" s="248"/>
      <c r="J100" s="249"/>
      <c r="K100" s="577"/>
      <c r="L100" s="561"/>
      <c r="M100" s="260"/>
      <c r="N100"/>
      <c r="O100" s="356"/>
      <c r="P100" s="45" t="s">
        <v>9</v>
      </c>
      <c r="Q100" s="351"/>
      <c r="R100" s="352"/>
      <c r="S100" s="352"/>
      <c r="T100" s="352"/>
      <c r="U100" s="353"/>
      <c r="V100" s="248"/>
      <c r="W100" s="249"/>
      <c r="X100" s="56"/>
      <c r="Y100" s="346"/>
      <c r="Z100" s="347"/>
    </row>
    <row r="101" spans="2:26" ht="14.5" customHeight="1" x14ac:dyDescent="0.35">
      <c r="B101" s="336">
        <v>42</v>
      </c>
      <c r="C101" s="143" t="s">
        <v>9</v>
      </c>
      <c r="D101" s="702"/>
      <c r="E101" s="703"/>
      <c r="F101" s="703"/>
      <c r="G101" s="703"/>
      <c r="H101" s="704"/>
      <c r="I101" s="641"/>
      <c r="J101" s="623"/>
      <c r="K101" s="642"/>
      <c r="L101" s="246"/>
      <c r="M101" s="247"/>
      <c r="O101" s="336">
        <v>41</v>
      </c>
      <c r="P101" s="128">
        <v>19892</v>
      </c>
      <c r="Q101" s="303" t="s">
        <v>135</v>
      </c>
      <c r="R101" s="304"/>
      <c r="S101" s="304"/>
      <c r="T101" s="304"/>
      <c r="U101" s="305"/>
      <c r="V101" s="285" t="s">
        <v>40</v>
      </c>
      <c r="W101" s="286"/>
      <c r="X101" s="287"/>
      <c r="Y101" s="341" t="s">
        <v>12</v>
      </c>
      <c r="Z101" s="340"/>
    </row>
    <row r="102" spans="2:26" ht="14.5" customHeight="1" x14ac:dyDescent="0.35">
      <c r="B102" s="337"/>
      <c r="C102" s="149" t="s">
        <v>136</v>
      </c>
      <c r="D102" s="303" t="s">
        <v>137</v>
      </c>
      <c r="E102" s="304"/>
      <c r="F102" s="304"/>
      <c r="G102" s="304"/>
      <c r="H102" s="305"/>
      <c r="I102" s="285" t="s">
        <v>138</v>
      </c>
      <c r="J102" s="286"/>
      <c r="K102" s="287"/>
      <c r="L102" s="226" t="s">
        <v>12</v>
      </c>
      <c r="M102" s="227"/>
      <c r="N102"/>
      <c r="O102" s="337"/>
      <c r="P102" s="13">
        <v>19278</v>
      </c>
      <c r="Q102" s="303" t="s">
        <v>139</v>
      </c>
      <c r="R102" s="304"/>
      <c r="S102" s="304"/>
      <c r="T102" s="304"/>
      <c r="U102" s="305"/>
      <c r="V102" s="285" t="s">
        <v>40</v>
      </c>
      <c r="W102" s="286"/>
      <c r="X102" s="287"/>
      <c r="Y102" s="226" t="s">
        <v>12</v>
      </c>
      <c r="Z102" s="227"/>
    </row>
    <row r="103" spans="2:26" ht="14.5" customHeight="1" x14ac:dyDescent="0.35">
      <c r="B103" s="337"/>
      <c r="C103" s="75" t="s">
        <v>140</v>
      </c>
      <c r="D103" s="303" t="s">
        <v>141</v>
      </c>
      <c r="E103" s="304"/>
      <c r="F103" s="304"/>
      <c r="G103" s="304"/>
      <c r="H103" s="305"/>
      <c r="I103" s="285" t="s">
        <v>142</v>
      </c>
      <c r="J103" s="286"/>
      <c r="K103" s="287"/>
      <c r="L103" s="226" t="s">
        <v>12</v>
      </c>
      <c r="M103" s="227"/>
      <c r="N103"/>
      <c r="O103" s="337"/>
      <c r="P103" s="13" t="s">
        <v>9</v>
      </c>
      <c r="Q103" s="303"/>
      <c r="R103" s="304"/>
      <c r="S103" s="304"/>
      <c r="T103" s="304"/>
      <c r="U103" s="305"/>
      <c r="V103" s="285"/>
      <c r="W103" s="286"/>
      <c r="X103" s="287"/>
      <c r="Y103" s="283"/>
      <c r="Z103" s="284"/>
    </row>
    <row r="104" spans="2:26" ht="14.5" customHeight="1" x14ac:dyDescent="0.35">
      <c r="B104" s="338"/>
      <c r="C104" s="174">
        <v>19988</v>
      </c>
      <c r="D104" s="303" t="s">
        <v>143</v>
      </c>
      <c r="E104" s="304"/>
      <c r="F104" s="304"/>
      <c r="G104" s="304"/>
      <c r="H104" s="305"/>
      <c r="I104" s="285" t="s">
        <v>40</v>
      </c>
      <c r="J104" s="286"/>
      <c r="K104" s="287"/>
      <c r="L104" s="283" t="s">
        <v>12</v>
      </c>
      <c r="M104" s="284"/>
      <c r="O104" s="338"/>
      <c r="P104" s="14">
        <v>18723</v>
      </c>
      <c r="Q104" s="524" t="s">
        <v>144</v>
      </c>
      <c r="R104" s="525"/>
      <c r="S104" s="525"/>
      <c r="T104" s="525"/>
      <c r="U104" s="526"/>
      <c r="V104" s="297" t="s">
        <v>29</v>
      </c>
      <c r="W104" s="298"/>
      <c r="X104" s="299"/>
      <c r="Y104" s="346" t="s">
        <v>12</v>
      </c>
      <c r="Z104" s="347"/>
    </row>
    <row r="105" spans="2:26" ht="14.5" customHeight="1" x14ac:dyDescent="0.35">
      <c r="B105" s="354">
        <v>44</v>
      </c>
      <c r="C105" s="43">
        <v>19304</v>
      </c>
      <c r="D105" s="458" t="s">
        <v>145</v>
      </c>
      <c r="E105" s="459"/>
      <c r="F105" s="459"/>
      <c r="G105" s="459"/>
      <c r="H105" s="460"/>
      <c r="I105" s="262" t="s">
        <v>146</v>
      </c>
      <c r="J105" s="263"/>
      <c r="K105" s="264"/>
      <c r="L105" s="451" t="s">
        <v>12</v>
      </c>
      <c r="M105" s="452"/>
      <c r="N105"/>
      <c r="O105" s="354">
        <v>43</v>
      </c>
      <c r="P105" s="43">
        <v>18069</v>
      </c>
      <c r="Q105" s="458" t="s">
        <v>147</v>
      </c>
      <c r="R105" s="459"/>
      <c r="S105" s="459"/>
      <c r="T105" s="459"/>
      <c r="U105" s="460"/>
      <c r="V105" s="262" t="s">
        <v>93</v>
      </c>
      <c r="W105" s="263"/>
      <c r="X105" s="57"/>
      <c r="Y105" s="341" t="s">
        <v>12</v>
      </c>
      <c r="Z105" s="340"/>
    </row>
    <row r="106" spans="2:26" ht="14.5" customHeight="1" x14ac:dyDescent="0.35">
      <c r="B106" s="355"/>
      <c r="C106" s="44" t="s">
        <v>9</v>
      </c>
      <c r="D106" s="224"/>
      <c r="E106" s="222"/>
      <c r="F106" s="222"/>
      <c r="G106" s="222"/>
      <c r="H106" s="225"/>
      <c r="I106" s="231"/>
      <c r="J106" s="232"/>
      <c r="K106" s="233"/>
      <c r="L106" s="226"/>
      <c r="M106" s="227"/>
      <c r="N106"/>
      <c r="O106" s="355"/>
      <c r="P106" s="44">
        <v>18068</v>
      </c>
      <c r="Q106" s="224" t="s">
        <v>148</v>
      </c>
      <c r="R106" s="222"/>
      <c r="S106" s="222"/>
      <c r="T106" s="222"/>
      <c r="U106" s="225"/>
      <c r="V106" s="231" t="s">
        <v>93</v>
      </c>
      <c r="W106" s="232"/>
      <c r="X106" s="55"/>
      <c r="Y106" s="226" t="s">
        <v>12</v>
      </c>
      <c r="Z106" s="227"/>
    </row>
    <row r="107" spans="2:26" ht="14.5" customHeight="1" x14ac:dyDescent="0.35">
      <c r="B107" s="355"/>
      <c r="C107" s="44" t="s">
        <v>9</v>
      </c>
      <c r="D107" s="224"/>
      <c r="E107" s="222"/>
      <c r="F107" s="222"/>
      <c r="G107" s="222"/>
      <c r="H107" s="225"/>
      <c r="I107" s="231"/>
      <c r="J107" s="232"/>
      <c r="K107" s="233"/>
      <c r="L107" s="226"/>
      <c r="M107" s="227"/>
      <c r="N107"/>
      <c r="O107" s="355"/>
      <c r="P107" s="44" t="s">
        <v>9</v>
      </c>
      <c r="Q107" s="224"/>
      <c r="R107" s="222"/>
      <c r="S107" s="222"/>
      <c r="T107" s="222"/>
      <c r="U107" s="225"/>
      <c r="V107" s="231"/>
      <c r="W107" s="232"/>
      <c r="X107" s="55"/>
      <c r="Y107" s="226"/>
      <c r="Z107" s="227"/>
    </row>
    <row r="108" spans="2:26" ht="14.5" customHeight="1" x14ac:dyDescent="0.35">
      <c r="B108" s="356"/>
      <c r="C108" s="45">
        <v>18743</v>
      </c>
      <c r="D108" s="351" t="s">
        <v>149</v>
      </c>
      <c r="E108" s="352"/>
      <c r="F108" s="352"/>
      <c r="G108" s="352"/>
      <c r="H108" s="353"/>
      <c r="I108" s="248" t="s">
        <v>21</v>
      </c>
      <c r="J108" s="249"/>
      <c r="K108" s="250"/>
      <c r="L108" s="259" t="s">
        <v>12</v>
      </c>
      <c r="M108" s="260"/>
      <c r="N108"/>
      <c r="O108" s="356"/>
      <c r="P108" s="45" t="s">
        <v>9</v>
      </c>
      <c r="Q108" s="351"/>
      <c r="R108" s="352"/>
      <c r="S108" s="352"/>
      <c r="T108" s="352"/>
      <c r="U108" s="353"/>
      <c r="V108" s="248"/>
      <c r="W108" s="249"/>
      <c r="X108" s="250"/>
      <c r="Y108" s="346"/>
      <c r="Z108" s="347"/>
    </row>
    <row r="109" spans="2:26" ht="14.5" customHeight="1" x14ac:dyDescent="0.35">
      <c r="B109" s="336">
        <v>46</v>
      </c>
      <c r="C109" s="11"/>
      <c r="D109" s="303"/>
      <c r="E109" s="304"/>
      <c r="F109" s="304"/>
      <c r="G109" s="304"/>
      <c r="H109" s="305"/>
      <c r="I109" s="206"/>
      <c r="J109" s="207"/>
      <c r="K109" s="208"/>
      <c r="L109" s="292"/>
      <c r="M109" s="294"/>
      <c r="N109"/>
      <c r="O109" s="336">
        <v>45</v>
      </c>
      <c r="P109" s="11"/>
      <c r="Q109" s="303"/>
      <c r="R109" s="304"/>
      <c r="S109" s="304"/>
      <c r="T109" s="304"/>
      <c r="U109" s="305"/>
      <c r="V109" s="206"/>
      <c r="W109" s="207"/>
      <c r="X109" s="208"/>
      <c r="Y109" s="341"/>
      <c r="Z109" s="340"/>
    </row>
    <row r="110" spans="2:26" ht="14.5" customHeight="1" x14ac:dyDescent="0.35">
      <c r="B110" s="337"/>
      <c r="C110" s="13"/>
      <c r="D110" s="228" t="s">
        <v>152</v>
      </c>
      <c r="E110" s="229"/>
      <c r="F110" s="229"/>
      <c r="G110" s="229"/>
      <c r="H110" s="230"/>
      <c r="I110" s="256" t="s">
        <v>42</v>
      </c>
      <c r="J110" s="257"/>
      <c r="K110" s="258"/>
      <c r="L110" s="283" t="s">
        <v>43</v>
      </c>
      <c r="M110" s="284"/>
      <c r="N110"/>
      <c r="O110" s="337"/>
      <c r="P110" s="13">
        <v>19742</v>
      </c>
      <c r="Q110" s="303" t="s">
        <v>153</v>
      </c>
      <c r="R110" s="304"/>
      <c r="S110" s="304"/>
      <c r="T110" s="304"/>
      <c r="U110" s="305"/>
      <c r="V110" s="286" t="s">
        <v>11</v>
      </c>
      <c r="W110" s="286"/>
      <c r="X110" s="287"/>
      <c r="Y110" s="226" t="s">
        <v>12</v>
      </c>
      <c r="Z110" s="227"/>
    </row>
    <row r="111" spans="2:26" ht="14.5" customHeight="1" x14ac:dyDescent="0.35">
      <c r="B111" s="337"/>
      <c r="C111" s="12"/>
      <c r="D111" s="303" t="s">
        <v>154</v>
      </c>
      <c r="E111" s="304"/>
      <c r="F111" s="304"/>
      <c r="G111" s="304"/>
      <c r="H111" s="305"/>
      <c r="I111" s="285" t="s">
        <v>42</v>
      </c>
      <c r="J111" s="286"/>
      <c r="K111" s="287"/>
      <c r="L111" s="283" t="s">
        <v>43</v>
      </c>
      <c r="M111" s="284"/>
      <c r="O111" s="337"/>
      <c r="P111" s="12">
        <v>19718</v>
      </c>
      <c r="Q111" s="212" t="s">
        <v>155</v>
      </c>
      <c r="R111" s="213"/>
      <c r="S111" s="213"/>
      <c r="T111" s="213"/>
      <c r="U111" s="214"/>
      <c r="V111" s="292" t="s">
        <v>40</v>
      </c>
      <c r="W111" s="293"/>
      <c r="X111" s="294"/>
      <c r="Y111" s="226" t="s">
        <v>12</v>
      </c>
      <c r="Z111" s="227"/>
    </row>
    <row r="112" spans="2:26" ht="14.5" customHeight="1" x14ac:dyDescent="0.35">
      <c r="B112" s="338"/>
      <c r="C112" s="14"/>
      <c r="D112" s="212" t="s">
        <v>156</v>
      </c>
      <c r="E112" s="213"/>
      <c r="F112" s="213"/>
      <c r="G112" s="213"/>
      <c r="H112" s="214"/>
      <c r="I112" s="292" t="s">
        <v>42</v>
      </c>
      <c r="J112" s="293"/>
      <c r="K112" s="294"/>
      <c r="L112" s="259" t="s">
        <v>43</v>
      </c>
      <c r="M112" s="260"/>
      <c r="N112"/>
      <c r="O112" s="338"/>
      <c r="P112" s="14">
        <v>19715</v>
      </c>
      <c r="Q112" s="524" t="s">
        <v>157</v>
      </c>
      <c r="R112" s="525"/>
      <c r="S112" s="525"/>
      <c r="T112" s="525"/>
      <c r="U112" s="526"/>
      <c r="V112" s="297" t="s">
        <v>40</v>
      </c>
      <c r="W112" s="298"/>
      <c r="X112" s="299"/>
      <c r="Y112" s="346" t="s">
        <v>12</v>
      </c>
      <c r="Z112" s="347"/>
    </row>
    <row r="113" spans="2:26" ht="14.5" customHeight="1" x14ac:dyDescent="0.35">
      <c r="B113" s="354">
        <v>48</v>
      </c>
      <c r="C113" s="43"/>
      <c r="D113" s="458" t="s">
        <v>158</v>
      </c>
      <c r="E113" s="459"/>
      <c r="F113" s="459"/>
      <c r="G113" s="459"/>
      <c r="H113" s="460"/>
      <c r="I113" s="262" t="s">
        <v>42</v>
      </c>
      <c r="J113" s="263"/>
      <c r="K113" s="264"/>
      <c r="L113" s="341" t="s">
        <v>43</v>
      </c>
      <c r="M113" s="340"/>
      <c r="N113"/>
      <c r="O113" s="354">
        <v>47</v>
      </c>
      <c r="P113" s="43" t="s">
        <v>9</v>
      </c>
      <c r="Q113" s="458"/>
      <c r="R113" s="459"/>
      <c r="S113" s="459"/>
      <c r="T113" s="459"/>
      <c r="U113" s="460"/>
      <c r="V113" s="262"/>
      <c r="W113" s="263"/>
      <c r="X113" s="264"/>
      <c r="Y113" s="341"/>
      <c r="Z113" s="340"/>
    </row>
    <row r="114" spans="2:26" ht="14.5" customHeight="1" x14ac:dyDescent="0.35">
      <c r="B114" s="355"/>
      <c r="C114" s="44"/>
      <c r="D114" s="224" t="s">
        <v>159</v>
      </c>
      <c r="E114" s="222"/>
      <c r="F114" s="222"/>
      <c r="G114" s="222"/>
      <c r="H114" s="225"/>
      <c r="I114" s="231" t="s">
        <v>42</v>
      </c>
      <c r="J114" s="232"/>
      <c r="K114" s="233"/>
      <c r="L114" s="226" t="s">
        <v>43</v>
      </c>
      <c r="M114" s="227"/>
      <c r="N114"/>
      <c r="O114" s="355"/>
      <c r="P114" s="44">
        <v>18143</v>
      </c>
      <c r="Q114" s="420" t="s">
        <v>160</v>
      </c>
      <c r="R114" s="421"/>
      <c r="S114" s="421"/>
      <c r="T114" s="421"/>
      <c r="U114" s="422"/>
      <c r="V114" s="414" t="s">
        <v>161</v>
      </c>
      <c r="W114" s="415"/>
      <c r="X114" s="196"/>
      <c r="Y114" s="895" t="s">
        <v>12</v>
      </c>
      <c r="Z114" s="296"/>
    </row>
    <row r="115" spans="2:26" ht="14.5" customHeight="1" x14ac:dyDescent="0.35">
      <c r="B115" s="355"/>
      <c r="C115" s="154"/>
      <c r="D115" s="224" t="s">
        <v>162</v>
      </c>
      <c r="E115" s="222"/>
      <c r="F115" s="222"/>
      <c r="G115" s="222"/>
      <c r="H115" s="225"/>
      <c r="I115" s="231" t="s">
        <v>42</v>
      </c>
      <c r="J115" s="232"/>
      <c r="K115" s="233"/>
      <c r="L115" s="226" t="s">
        <v>43</v>
      </c>
      <c r="M115" s="227"/>
      <c r="O115" s="355"/>
      <c r="P115" s="44" t="s">
        <v>9</v>
      </c>
      <c r="Q115" s="558"/>
      <c r="R115" s="222"/>
      <c r="S115" s="222"/>
      <c r="T115" s="222"/>
      <c r="U115" s="225"/>
      <c r="V115" s="231"/>
      <c r="W115" s="232"/>
      <c r="X115" s="55"/>
      <c r="Y115" s="226"/>
      <c r="Z115" s="227"/>
    </row>
    <row r="116" spans="2:26" ht="14.5" customHeight="1" x14ac:dyDescent="0.35">
      <c r="B116" s="356"/>
      <c r="C116" s="45"/>
      <c r="D116" s="558" t="s">
        <v>154</v>
      </c>
      <c r="E116" s="352"/>
      <c r="F116" s="352"/>
      <c r="G116" s="352"/>
      <c r="H116" s="353"/>
      <c r="I116" s="248" t="s">
        <v>42</v>
      </c>
      <c r="J116" s="249"/>
      <c r="K116" s="250"/>
      <c r="L116" s="346" t="s">
        <v>43</v>
      </c>
      <c r="M116" s="347"/>
      <c r="N116"/>
      <c r="O116" s="356"/>
      <c r="P116" s="45" t="s">
        <v>9</v>
      </c>
      <c r="Q116" s="351"/>
      <c r="R116" s="352"/>
      <c r="S116" s="352"/>
      <c r="T116" s="352"/>
      <c r="U116" s="353"/>
      <c r="V116" s="248"/>
      <c r="W116" s="249"/>
      <c r="X116" s="56"/>
      <c r="Y116" s="346"/>
      <c r="Z116" s="347"/>
    </row>
    <row r="117" spans="2:26" ht="14.5" customHeight="1" x14ac:dyDescent="0.35">
      <c r="B117" s="336">
        <v>50</v>
      </c>
      <c r="C117" s="11">
        <v>19018</v>
      </c>
      <c r="D117" s="492" t="s">
        <v>235</v>
      </c>
      <c r="E117" s="210"/>
      <c r="F117" s="210"/>
      <c r="G117" s="210"/>
      <c r="H117" s="211"/>
      <c r="I117" s="265" t="s">
        <v>236</v>
      </c>
      <c r="J117" s="266"/>
      <c r="K117" s="267"/>
      <c r="L117" s="246" t="s">
        <v>12</v>
      </c>
      <c r="M117" s="247"/>
      <c r="N117"/>
      <c r="O117" s="336">
        <v>49</v>
      </c>
      <c r="P117" s="11" t="s">
        <v>9</v>
      </c>
      <c r="Q117" s="445"/>
      <c r="R117" s="446"/>
      <c r="S117" s="446"/>
      <c r="T117" s="446"/>
      <c r="U117" s="447"/>
      <c r="V117" s="206"/>
      <c r="W117" s="207"/>
      <c r="X117" s="208"/>
      <c r="Y117" s="341"/>
      <c r="Z117" s="340"/>
    </row>
    <row r="118" spans="2:26" ht="14.5" customHeight="1" x14ac:dyDescent="0.35">
      <c r="B118" s="337"/>
      <c r="C118" s="13">
        <v>18437</v>
      </c>
      <c r="D118" s="228" t="s">
        <v>239</v>
      </c>
      <c r="E118" s="229"/>
      <c r="F118" s="229"/>
      <c r="G118" s="229"/>
      <c r="H118" s="230"/>
      <c r="I118" s="256" t="s">
        <v>236</v>
      </c>
      <c r="J118" s="257"/>
      <c r="K118" s="258"/>
      <c r="L118" s="584" t="s">
        <v>12</v>
      </c>
      <c r="M118" s="289"/>
      <c r="N118"/>
      <c r="O118" s="337"/>
      <c r="P118" s="13">
        <v>20907</v>
      </c>
      <c r="Q118" s="212" t="s">
        <v>163</v>
      </c>
      <c r="R118" s="213"/>
      <c r="S118" s="213"/>
      <c r="T118" s="213"/>
      <c r="U118" s="214"/>
      <c r="V118" s="292" t="s">
        <v>25</v>
      </c>
      <c r="W118" s="293"/>
      <c r="X118" s="453"/>
      <c r="Y118" s="588" t="s">
        <v>12</v>
      </c>
      <c r="Z118" s="252"/>
    </row>
    <row r="119" spans="2:26" ht="14.5" customHeight="1" x14ac:dyDescent="0.35">
      <c r="B119" s="337"/>
      <c r="C119" s="13" t="s">
        <v>9</v>
      </c>
      <c r="D119" s="303"/>
      <c r="E119" s="304"/>
      <c r="F119" s="304"/>
      <c r="G119" s="304"/>
      <c r="H119" s="305"/>
      <c r="I119" s="285"/>
      <c r="J119" s="286"/>
      <c r="K119" s="287"/>
      <c r="L119" s="283"/>
      <c r="M119" s="284"/>
      <c r="N119"/>
      <c r="O119" s="337"/>
      <c r="P119" s="13">
        <v>19808</v>
      </c>
      <c r="Q119" s="303" t="s">
        <v>563</v>
      </c>
      <c r="R119" s="304"/>
      <c r="S119" s="304"/>
      <c r="T119" s="304"/>
      <c r="U119" s="305"/>
      <c r="V119" s="285" t="s">
        <v>40</v>
      </c>
      <c r="W119" s="286"/>
      <c r="X119" s="287"/>
      <c r="Y119" s="283" t="s">
        <v>12</v>
      </c>
      <c r="Z119" s="284"/>
    </row>
    <row r="120" spans="2:26" ht="14.5" customHeight="1" x14ac:dyDescent="0.35">
      <c r="B120" s="338"/>
      <c r="C120" s="14" t="s">
        <v>9</v>
      </c>
      <c r="D120" s="316"/>
      <c r="E120" s="317"/>
      <c r="F120" s="317"/>
      <c r="G120" s="317"/>
      <c r="H120" s="318"/>
      <c r="I120" s="297"/>
      <c r="J120" s="298"/>
      <c r="K120" s="299"/>
      <c r="L120" s="259"/>
      <c r="M120" s="260"/>
      <c r="N120"/>
      <c r="O120" s="338"/>
      <c r="P120" s="188" t="s">
        <v>9</v>
      </c>
      <c r="Q120" s="169"/>
      <c r="R120" s="169"/>
      <c r="S120" s="169"/>
      <c r="T120" s="169"/>
      <c r="U120" s="169"/>
      <c r="V120" s="178"/>
      <c r="W120" s="169"/>
      <c r="X120" s="169"/>
      <c r="Y120" s="179"/>
      <c r="Z120" s="180"/>
    </row>
    <row r="121" spans="2:26" ht="14.5" customHeight="1" x14ac:dyDescent="0.35">
      <c r="B121" s="354">
        <v>52</v>
      </c>
      <c r="C121" s="47">
        <v>19188</v>
      </c>
      <c r="D121" s="423" t="s">
        <v>507</v>
      </c>
      <c r="E121" s="424"/>
      <c r="F121" s="424"/>
      <c r="G121" s="424"/>
      <c r="H121" s="425"/>
      <c r="I121" s="619" t="s">
        <v>31</v>
      </c>
      <c r="J121" s="620"/>
      <c r="K121" s="621"/>
      <c r="L121" s="341" t="s">
        <v>12</v>
      </c>
      <c r="M121" s="340"/>
      <c r="N121"/>
      <c r="O121" s="354">
        <v>51</v>
      </c>
      <c r="P121" s="43" t="s">
        <v>9</v>
      </c>
      <c r="Q121" s="218"/>
      <c r="R121" s="219"/>
      <c r="S121" s="219"/>
      <c r="T121" s="219"/>
      <c r="U121" s="220"/>
      <c r="V121" s="262"/>
      <c r="W121" s="263"/>
      <c r="X121" s="57"/>
      <c r="Y121" s="261"/>
      <c r="Z121" s="227"/>
    </row>
    <row r="122" spans="2:26" ht="14.5" customHeight="1" x14ac:dyDescent="0.35">
      <c r="B122" s="355"/>
      <c r="C122" s="47">
        <v>19022</v>
      </c>
      <c r="D122" s="224" t="s">
        <v>508</v>
      </c>
      <c r="E122" s="222"/>
      <c r="F122" s="222"/>
      <c r="G122" s="222"/>
      <c r="H122" s="225"/>
      <c r="I122" s="232" t="s">
        <v>509</v>
      </c>
      <c r="J122" s="232"/>
      <c r="K122" s="302"/>
      <c r="L122" s="226" t="s">
        <v>12</v>
      </c>
      <c r="M122" s="227"/>
      <c r="N122"/>
      <c r="O122" s="355"/>
      <c r="P122" s="44">
        <v>17797</v>
      </c>
      <c r="Q122" s="585" t="s">
        <v>164</v>
      </c>
      <c r="R122" s="586"/>
      <c r="S122" s="586"/>
      <c r="T122" s="586"/>
      <c r="U122" s="587"/>
      <c r="V122" s="231" t="s">
        <v>165</v>
      </c>
      <c r="W122" s="232"/>
      <c r="X122" s="55"/>
      <c r="Y122" s="226" t="s">
        <v>12</v>
      </c>
      <c r="Z122" s="227"/>
    </row>
    <row r="123" spans="2:26" ht="14.5" customHeight="1" x14ac:dyDescent="0.35">
      <c r="B123" s="355"/>
      <c r="C123" s="44" t="s">
        <v>9</v>
      </c>
      <c r="D123" s="224"/>
      <c r="E123" s="222"/>
      <c r="F123" s="222"/>
      <c r="G123" s="222"/>
      <c r="H123" s="225"/>
      <c r="I123" s="231"/>
      <c r="J123" s="232"/>
      <c r="K123" s="233"/>
      <c r="L123" s="231"/>
      <c r="M123" s="233"/>
      <c r="N123"/>
      <c r="O123" s="355"/>
      <c r="P123" s="44" t="s">
        <v>9</v>
      </c>
      <c r="Q123" s="224"/>
      <c r="R123" s="222"/>
      <c r="S123" s="222"/>
      <c r="T123" s="222"/>
      <c r="U123" s="225"/>
      <c r="V123" s="231"/>
      <c r="W123" s="232"/>
      <c r="X123" s="55"/>
      <c r="Y123" s="226"/>
      <c r="Z123" s="227"/>
    </row>
    <row r="124" spans="2:26" ht="14.5" customHeight="1" x14ac:dyDescent="0.35">
      <c r="B124" s="356"/>
      <c r="C124" s="45" t="s">
        <v>9</v>
      </c>
      <c r="D124" s="351"/>
      <c r="E124" s="352"/>
      <c r="F124" s="352"/>
      <c r="G124" s="352"/>
      <c r="H124" s="353"/>
      <c r="I124" s="248"/>
      <c r="J124" s="249"/>
      <c r="K124" s="250"/>
      <c r="L124" s="346"/>
      <c r="M124" s="347"/>
      <c r="N124"/>
      <c r="O124" s="356"/>
      <c r="P124" s="45" t="s">
        <v>9</v>
      </c>
      <c r="Q124" s="351"/>
      <c r="R124" s="352"/>
      <c r="S124" s="352"/>
      <c r="T124" s="352"/>
      <c r="U124" s="353"/>
      <c r="V124" s="248"/>
      <c r="W124" s="249"/>
      <c r="X124" s="56"/>
      <c r="Y124" s="346"/>
      <c r="Z124" s="347"/>
    </row>
    <row r="125" spans="2:26" ht="14.5" customHeight="1" x14ac:dyDescent="0.35">
      <c r="B125" s="336">
        <v>54</v>
      </c>
      <c r="C125" s="11">
        <v>18900</v>
      </c>
      <c r="D125" s="303" t="s">
        <v>166</v>
      </c>
      <c r="E125" s="304"/>
      <c r="F125" s="304"/>
      <c r="G125" s="304"/>
      <c r="H125" s="305"/>
      <c r="I125" s="206" t="s">
        <v>122</v>
      </c>
      <c r="J125" s="207"/>
      <c r="K125" s="208"/>
      <c r="L125" s="512" t="s">
        <v>12</v>
      </c>
      <c r="M125" s="513"/>
      <c r="N125" s="116"/>
      <c r="O125" s="336">
        <v>53</v>
      </c>
      <c r="P125" s="11">
        <v>19809</v>
      </c>
      <c r="Q125" s="303" t="s">
        <v>167</v>
      </c>
      <c r="R125" s="304"/>
      <c r="S125" s="304"/>
      <c r="T125" s="304"/>
      <c r="U125" s="305"/>
      <c r="V125" s="206" t="s">
        <v>168</v>
      </c>
      <c r="W125" s="207"/>
      <c r="X125" s="208"/>
      <c r="Y125" s="341" t="s">
        <v>12</v>
      </c>
      <c r="Z125" s="340"/>
    </row>
    <row r="126" spans="2:26" ht="14.5" customHeight="1" x14ac:dyDescent="0.35">
      <c r="B126" s="337"/>
      <c r="C126" s="189" t="s">
        <v>9</v>
      </c>
      <c r="D126" s="303"/>
      <c r="E126" s="304"/>
      <c r="F126" s="304"/>
      <c r="G126" s="304"/>
      <c r="H126" s="305"/>
      <c r="I126" s="285"/>
      <c r="J126" s="286"/>
      <c r="K126" s="287"/>
      <c r="L126" s="285"/>
      <c r="M126" s="287"/>
      <c r="N126"/>
      <c r="O126" s="337"/>
      <c r="P126" s="13" t="s">
        <v>9</v>
      </c>
      <c r="Q126" s="303"/>
      <c r="R126" s="304"/>
      <c r="S126" s="304"/>
      <c r="T126" s="304"/>
      <c r="U126" s="305"/>
      <c r="V126" s="285"/>
      <c r="W126" s="286"/>
      <c r="X126" s="287"/>
      <c r="Y126" s="283"/>
      <c r="Z126" s="284"/>
    </row>
    <row r="127" spans="2:26" ht="14.5" customHeight="1" x14ac:dyDescent="0.35">
      <c r="B127" s="337"/>
      <c r="C127" s="13" t="s">
        <v>9</v>
      </c>
      <c r="D127" s="303"/>
      <c r="E127" s="304"/>
      <c r="F127" s="304"/>
      <c r="G127" s="304"/>
      <c r="H127" s="305"/>
      <c r="I127" s="285"/>
      <c r="J127" s="286"/>
      <c r="K127" s="287"/>
      <c r="L127" s="285"/>
      <c r="M127" s="287"/>
      <c r="N127"/>
      <c r="O127" s="337"/>
      <c r="P127" s="12">
        <v>19510</v>
      </c>
      <c r="Q127" s="212" t="s">
        <v>169</v>
      </c>
      <c r="R127" s="213"/>
      <c r="S127" s="213"/>
      <c r="T127" s="213"/>
      <c r="U127" s="214"/>
      <c r="V127" s="292" t="s">
        <v>11</v>
      </c>
      <c r="W127" s="293"/>
      <c r="X127" s="294"/>
      <c r="Y127" s="574" t="s">
        <v>12</v>
      </c>
      <c r="Z127" s="575"/>
    </row>
    <row r="128" spans="2:26" ht="14.5" customHeight="1" x14ac:dyDescent="0.35">
      <c r="B128" s="338"/>
      <c r="C128" s="14">
        <v>19895</v>
      </c>
      <c r="D128" s="524" t="s">
        <v>170</v>
      </c>
      <c r="E128" s="525"/>
      <c r="F128" s="525"/>
      <c r="G128" s="525"/>
      <c r="H128" s="526"/>
      <c r="I128" s="297" t="s">
        <v>40</v>
      </c>
      <c r="J128" s="298"/>
      <c r="K128" s="299"/>
      <c r="L128" s="591" t="s">
        <v>12</v>
      </c>
      <c r="M128" s="592"/>
      <c r="N128"/>
      <c r="O128" s="338"/>
      <c r="P128" s="14" t="s">
        <v>9</v>
      </c>
      <c r="Q128" s="524"/>
      <c r="R128" s="525"/>
      <c r="S128" s="525"/>
      <c r="T128" s="525"/>
      <c r="U128" s="526"/>
      <c r="V128" s="297"/>
      <c r="W128" s="298"/>
      <c r="X128" s="299"/>
      <c r="Y128" s="259"/>
      <c r="Z128" s="260"/>
    </row>
    <row r="129" spans="2:26" ht="14.5" customHeight="1" x14ac:dyDescent="0.35">
      <c r="B129" s="354">
        <v>56</v>
      </c>
      <c r="C129" s="43" t="s">
        <v>9</v>
      </c>
      <c r="D129" s="458"/>
      <c r="E129" s="459"/>
      <c r="F129" s="459"/>
      <c r="G129" s="459"/>
      <c r="H129" s="460"/>
      <c r="I129" s="262"/>
      <c r="J129" s="263"/>
      <c r="K129" s="264"/>
      <c r="L129" s="341"/>
      <c r="M129" s="340"/>
      <c r="N129"/>
      <c r="O129" s="354">
        <v>55</v>
      </c>
      <c r="P129" s="43">
        <v>1</v>
      </c>
      <c r="Q129" s="458" t="s">
        <v>171</v>
      </c>
      <c r="R129" s="459"/>
      <c r="S129" s="459"/>
      <c r="T129" s="459"/>
      <c r="U129" s="460"/>
      <c r="V129" s="262" t="s">
        <v>172</v>
      </c>
      <c r="W129" s="263"/>
      <c r="X129" s="264"/>
      <c r="Y129" s="890" t="s">
        <v>67</v>
      </c>
      <c r="Z129" s="684"/>
    </row>
    <row r="130" spans="2:26" ht="14.5" customHeight="1" x14ac:dyDescent="0.35">
      <c r="B130" s="355"/>
      <c r="C130" s="44">
        <v>19124</v>
      </c>
      <c r="D130" s="224" t="s">
        <v>173</v>
      </c>
      <c r="E130" s="222"/>
      <c r="F130" s="222"/>
      <c r="G130" s="222"/>
      <c r="H130" s="225"/>
      <c r="I130" s="231" t="s">
        <v>174</v>
      </c>
      <c r="J130" s="232"/>
      <c r="K130" s="233"/>
      <c r="L130" s="288" t="s">
        <v>12</v>
      </c>
      <c r="M130" s="289"/>
      <c r="N130"/>
      <c r="O130" s="355"/>
      <c r="P130" s="44">
        <v>2</v>
      </c>
      <c r="Q130" s="224" t="s">
        <v>175</v>
      </c>
      <c r="R130" s="222"/>
      <c r="S130" s="222"/>
      <c r="T130" s="222"/>
      <c r="U130" s="225"/>
      <c r="V130" s="231" t="s">
        <v>172</v>
      </c>
      <c r="W130" s="232"/>
      <c r="X130" s="233"/>
      <c r="Y130" s="572" t="s">
        <v>67</v>
      </c>
      <c r="Z130" s="573"/>
    </row>
    <row r="131" spans="2:26" ht="14.5" customHeight="1" x14ac:dyDescent="0.35">
      <c r="B131" s="355"/>
      <c r="C131" s="44" t="s">
        <v>9</v>
      </c>
      <c r="D131" s="500"/>
      <c r="E131" s="501"/>
      <c r="F131" s="501"/>
      <c r="G131" s="501"/>
      <c r="H131" s="502"/>
      <c r="I131" s="231"/>
      <c r="J131" s="232"/>
      <c r="K131" s="233"/>
      <c r="L131" s="231"/>
      <c r="M131" s="233"/>
      <c r="N131"/>
      <c r="O131" s="355"/>
      <c r="P131" s="44" t="s">
        <v>9</v>
      </c>
      <c r="Q131" s="224"/>
      <c r="R131" s="222"/>
      <c r="S131" s="222"/>
      <c r="T131" s="222"/>
      <c r="U131" s="225"/>
      <c r="V131" s="231"/>
      <c r="W131" s="232"/>
      <c r="X131" s="233"/>
      <c r="Y131" s="572"/>
      <c r="Z131" s="573"/>
    </row>
    <row r="132" spans="2:26" ht="14.5" customHeight="1" x14ac:dyDescent="0.35">
      <c r="B132" s="356"/>
      <c r="C132" s="45">
        <v>18726</v>
      </c>
      <c r="D132" s="351" t="s">
        <v>176</v>
      </c>
      <c r="E132" s="352"/>
      <c r="F132" s="352"/>
      <c r="G132" s="352"/>
      <c r="H132" s="352"/>
      <c r="I132" s="576" t="s">
        <v>177</v>
      </c>
      <c r="J132" s="249"/>
      <c r="K132" s="577"/>
      <c r="L132" s="490" t="s">
        <v>12</v>
      </c>
      <c r="M132" s="347"/>
      <c r="N132"/>
      <c r="O132" s="356"/>
      <c r="P132" s="45">
        <v>4</v>
      </c>
      <c r="Q132" s="351" t="s">
        <v>178</v>
      </c>
      <c r="R132" s="352"/>
      <c r="S132" s="352"/>
      <c r="T132" s="352"/>
      <c r="U132" s="353"/>
      <c r="V132" s="248" t="s">
        <v>172</v>
      </c>
      <c r="W132" s="249"/>
      <c r="X132" s="250"/>
      <c r="Y132" s="572" t="s">
        <v>67</v>
      </c>
      <c r="Z132" s="573"/>
    </row>
    <row r="133" spans="2:26" ht="14.5" customHeight="1" x14ac:dyDescent="0.35">
      <c r="B133" s="336">
        <v>58</v>
      </c>
      <c r="C133" s="11" t="s">
        <v>9</v>
      </c>
      <c r="D133" s="303"/>
      <c r="E133" s="304"/>
      <c r="F133" s="304"/>
      <c r="G133" s="304"/>
      <c r="H133" s="305"/>
      <c r="I133" s="206"/>
      <c r="J133" s="207"/>
      <c r="K133" s="208"/>
      <c r="L133" s="341"/>
      <c r="M133" s="340"/>
      <c r="N133"/>
      <c r="O133" s="336">
        <v>57</v>
      </c>
      <c r="P133" s="12" t="s">
        <v>9</v>
      </c>
      <c r="Q133" s="600"/>
      <c r="R133" s="601"/>
      <c r="S133" s="601"/>
      <c r="T133" s="601"/>
      <c r="U133" s="602"/>
      <c r="V133" s="286"/>
      <c r="W133" s="286"/>
      <c r="X133" s="287"/>
      <c r="Y133" s="246"/>
      <c r="Z133" s="247"/>
    </row>
    <row r="134" spans="2:26" ht="14.5" customHeight="1" x14ac:dyDescent="0.35">
      <c r="B134" s="337"/>
      <c r="C134" s="13" t="s">
        <v>9</v>
      </c>
      <c r="D134" s="303"/>
      <c r="E134" s="304"/>
      <c r="F134" s="304"/>
      <c r="G134" s="304"/>
      <c r="H134" s="305"/>
      <c r="I134" s="285"/>
      <c r="J134" s="286"/>
      <c r="K134" s="287"/>
      <c r="L134" s="288"/>
      <c r="M134" s="289"/>
      <c r="N134"/>
      <c r="O134" s="337"/>
      <c r="P134" s="12" t="s">
        <v>9</v>
      </c>
      <c r="Q134" s="212"/>
      <c r="R134" s="213"/>
      <c r="S134" s="213"/>
      <c r="T134" s="213"/>
      <c r="U134" s="214"/>
      <c r="V134" s="292"/>
      <c r="W134" s="293"/>
      <c r="X134" s="294"/>
      <c r="Y134" s="283"/>
      <c r="Z134" s="284"/>
    </row>
    <row r="135" spans="2:26" ht="14.5" customHeight="1" x14ac:dyDescent="0.35">
      <c r="B135" s="337"/>
      <c r="C135" s="12">
        <v>19683</v>
      </c>
      <c r="D135" s="303" t="s">
        <v>179</v>
      </c>
      <c r="E135" s="304"/>
      <c r="F135" s="304"/>
      <c r="G135" s="304"/>
      <c r="H135" s="305"/>
      <c r="I135" s="293" t="s">
        <v>161</v>
      </c>
      <c r="J135" s="293"/>
      <c r="K135" s="453"/>
      <c r="L135" s="226" t="s">
        <v>12</v>
      </c>
      <c r="M135" s="227"/>
      <c r="N135"/>
      <c r="O135" s="337"/>
      <c r="P135" s="13" t="s">
        <v>9</v>
      </c>
      <c r="Q135" s="303"/>
      <c r="R135" s="304"/>
      <c r="S135" s="304"/>
      <c r="T135" s="304"/>
      <c r="U135" s="305"/>
      <c r="V135" s="285"/>
      <c r="W135" s="286"/>
      <c r="X135" s="287"/>
      <c r="Y135" s="283"/>
      <c r="Z135" s="284"/>
    </row>
    <row r="136" spans="2:26" ht="14.5" customHeight="1" x14ac:dyDescent="0.35">
      <c r="B136" s="338"/>
      <c r="C136" s="14" t="s">
        <v>9</v>
      </c>
      <c r="D136" s="524"/>
      <c r="E136" s="525"/>
      <c r="F136" s="525"/>
      <c r="G136" s="525"/>
      <c r="H136" s="526"/>
      <c r="I136" s="297"/>
      <c r="J136" s="298"/>
      <c r="K136" s="299"/>
      <c r="L136" s="346"/>
      <c r="M136" s="347"/>
      <c r="N136"/>
      <c r="O136" s="337"/>
      <c r="P136" s="191" t="s">
        <v>9</v>
      </c>
      <c r="Q136" s="606"/>
      <c r="R136" s="607"/>
      <c r="S136" s="607"/>
      <c r="T136" s="607"/>
      <c r="U136" s="608"/>
      <c r="V136" s="297"/>
      <c r="W136" s="298"/>
      <c r="X136" s="299"/>
      <c r="Y136" s="283"/>
      <c r="Z136" s="284"/>
    </row>
    <row r="137" spans="2:26" ht="14.5" customHeight="1" x14ac:dyDescent="0.35">
      <c r="B137" s="354">
        <v>60</v>
      </c>
      <c r="C137" s="43">
        <v>18206</v>
      </c>
      <c r="D137" s="458" t="s">
        <v>180</v>
      </c>
      <c r="E137" s="459"/>
      <c r="F137" s="459"/>
      <c r="G137" s="459"/>
      <c r="H137" s="460"/>
      <c r="I137" s="262" t="s">
        <v>131</v>
      </c>
      <c r="J137" s="263"/>
      <c r="K137" s="264"/>
      <c r="L137" s="451" t="s">
        <v>12</v>
      </c>
      <c r="M137" s="452"/>
      <c r="N137"/>
      <c r="O137" s="354">
        <v>59</v>
      </c>
      <c r="P137" s="47">
        <v>19793</v>
      </c>
      <c r="Q137" s="429" t="s">
        <v>181</v>
      </c>
      <c r="R137" s="430"/>
      <c r="S137" s="430"/>
      <c r="T137" s="430"/>
      <c r="U137" s="431"/>
      <c r="V137" s="411" t="s">
        <v>182</v>
      </c>
      <c r="W137" s="412"/>
      <c r="X137" s="413"/>
      <c r="Y137" s="341" t="s">
        <v>12</v>
      </c>
      <c r="Z137" s="340"/>
    </row>
    <row r="138" spans="2:26" ht="14.5" customHeight="1" x14ac:dyDescent="0.35">
      <c r="B138" s="355"/>
      <c r="C138" s="44">
        <v>19515</v>
      </c>
      <c r="D138" s="224" t="s">
        <v>183</v>
      </c>
      <c r="E138" s="222"/>
      <c r="F138" s="222"/>
      <c r="G138" s="222"/>
      <c r="H138" s="225"/>
      <c r="I138" s="231" t="s">
        <v>40</v>
      </c>
      <c r="J138" s="232"/>
      <c r="K138" s="233"/>
      <c r="L138" s="283" t="s">
        <v>12</v>
      </c>
      <c r="M138" s="284"/>
      <c r="N138"/>
      <c r="O138" s="355"/>
      <c r="P138" s="44" t="s">
        <v>9</v>
      </c>
      <c r="Q138" s="224"/>
      <c r="R138" s="222"/>
      <c r="S138" s="222"/>
      <c r="T138" s="222"/>
      <c r="U138" s="225"/>
      <c r="V138" s="231"/>
      <c r="W138" s="232"/>
      <c r="X138" s="233"/>
      <c r="Y138" s="226"/>
      <c r="Z138" s="227"/>
    </row>
    <row r="139" spans="2:26" ht="14.5" customHeight="1" x14ac:dyDescent="0.35">
      <c r="B139" s="355"/>
      <c r="C139" s="47" t="s">
        <v>9</v>
      </c>
      <c r="D139" s="224"/>
      <c r="E139" s="222"/>
      <c r="F139" s="222"/>
      <c r="G139" s="222"/>
      <c r="H139" s="225"/>
      <c r="I139" s="394"/>
      <c r="J139" s="370"/>
      <c r="K139" s="395"/>
      <c r="L139" s="226"/>
      <c r="M139" s="227"/>
      <c r="N139"/>
      <c r="O139" s="355"/>
      <c r="P139" s="44" t="s">
        <v>9</v>
      </c>
      <c r="Q139" s="558"/>
      <c r="R139" s="373"/>
      <c r="S139" s="373"/>
      <c r="T139" s="373"/>
      <c r="U139" s="374"/>
      <c r="V139" s="370"/>
      <c r="W139" s="370"/>
      <c r="X139" s="900"/>
      <c r="Y139" s="226"/>
      <c r="Z139" s="227"/>
    </row>
    <row r="140" spans="2:26" ht="14.5" customHeight="1" x14ac:dyDescent="0.35">
      <c r="B140" s="355"/>
      <c r="C140" s="46" t="s">
        <v>9</v>
      </c>
      <c r="D140" s="375"/>
      <c r="E140" s="376"/>
      <c r="F140" s="376"/>
      <c r="G140" s="376"/>
      <c r="H140" s="377"/>
      <c r="I140" s="248"/>
      <c r="J140" s="249"/>
      <c r="K140" s="250"/>
      <c r="L140" s="346"/>
      <c r="M140" s="347"/>
      <c r="N140"/>
      <c r="O140" s="356"/>
      <c r="P140" s="45">
        <v>19799</v>
      </c>
      <c r="Q140" s="679" t="s">
        <v>184</v>
      </c>
      <c r="R140" s="680"/>
      <c r="S140" s="680"/>
      <c r="T140" s="680"/>
      <c r="U140" s="681"/>
      <c r="V140" s="417" t="s">
        <v>19</v>
      </c>
      <c r="W140" s="418"/>
      <c r="X140" s="419"/>
      <c r="Y140" s="346" t="s">
        <v>12</v>
      </c>
      <c r="Z140" s="347"/>
    </row>
    <row r="141" spans="2:26" ht="14.5" customHeight="1" x14ac:dyDescent="0.35">
      <c r="B141" s="336">
        <v>62</v>
      </c>
      <c r="C141" s="11" t="s">
        <v>9</v>
      </c>
      <c r="D141" s="303"/>
      <c r="E141" s="304"/>
      <c r="F141" s="304"/>
      <c r="G141" s="304"/>
      <c r="H141" s="305"/>
      <c r="I141" s="206"/>
      <c r="J141" s="207"/>
      <c r="K141" s="208"/>
      <c r="L141" s="246"/>
      <c r="M141" s="247"/>
      <c r="N141"/>
      <c r="O141" s="336">
        <v>61</v>
      </c>
      <c r="P141" s="129" t="s">
        <v>9</v>
      </c>
      <c r="Q141" s="445"/>
      <c r="R141" s="446"/>
      <c r="S141" s="446"/>
      <c r="T141" s="446"/>
      <c r="U141" s="901"/>
      <c r="V141" s="314"/>
      <c r="W141" s="314"/>
      <c r="X141" s="314"/>
      <c r="Y141" s="852"/>
      <c r="Z141" s="247"/>
    </row>
    <row r="142" spans="2:26" ht="14.5" customHeight="1" x14ac:dyDescent="0.35">
      <c r="B142" s="337"/>
      <c r="C142" s="13">
        <v>19764</v>
      </c>
      <c r="D142" s="303" t="s">
        <v>185</v>
      </c>
      <c r="E142" s="304"/>
      <c r="F142" s="304"/>
      <c r="G142" s="304"/>
      <c r="H142" s="305"/>
      <c r="I142" s="285" t="s">
        <v>186</v>
      </c>
      <c r="J142" s="286"/>
      <c r="K142" s="287"/>
      <c r="L142" s="226" t="s">
        <v>12</v>
      </c>
      <c r="M142" s="227"/>
      <c r="N142"/>
      <c r="O142" s="337"/>
      <c r="P142" s="13" t="s">
        <v>9</v>
      </c>
      <c r="Q142" s="303"/>
      <c r="R142" s="304"/>
      <c r="S142" s="304"/>
      <c r="T142" s="304"/>
      <c r="U142" s="305"/>
      <c r="V142" s="860"/>
      <c r="W142" s="861"/>
      <c r="X142" s="862"/>
      <c r="Y142" s="283"/>
      <c r="Z142" s="284"/>
    </row>
    <row r="143" spans="2:26" ht="14.5" customHeight="1" x14ac:dyDescent="0.35">
      <c r="B143" s="337"/>
      <c r="C143" s="13">
        <v>18222</v>
      </c>
      <c r="D143" s="303" t="s">
        <v>187</v>
      </c>
      <c r="E143" s="304"/>
      <c r="F143" s="304"/>
      <c r="G143" s="304"/>
      <c r="H143" s="305"/>
      <c r="I143" s="285" t="s">
        <v>25</v>
      </c>
      <c r="J143" s="286"/>
      <c r="K143" s="287"/>
      <c r="L143" s="226" t="s">
        <v>12</v>
      </c>
      <c r="M143" s="227"/>
      <c r="N143"/>
      <c r="O143" s="337"/>
      <c r="P143" s="13" t="s">
        <v>9</v>
      </c>
      <c r="Q143" s="303"/>
      <c r="R143" s="304"/>
      <c r="S143" s="304"/>
      <c r="T143" s="304"/>
      <c r="U143" s="305"/>
      <c r="V143" s="285"/>
      <c r="W143" s="286"/>
      <c r="X143" s="287"/>
      <c r="Y143" s="283"/>
      <c r="Z143" s="284"/>
    </row>
    <row r="144" spans="2:26" ht="14.5" customHeight="1" x14ac:dyDescent="0.35">
      <c r="B144" s="338"/>
      <c r="C144" s="14" t="s">
        <v>9</v>
      </c>
      <c r="D144" s="316"/>
      <c r="E144" s="317"/>
      <c r="F144" s="317"/>
      <c r="G144" s="317"/>
      <c r="H144" s="318"/>
      <c r="I144" s="297"/>
      <c r="J144" s="298"/>
      <c r="K144" s="299"/>
      <c r="L144" s="346"/>
      <c r="M144" s="347"/>
      <c r="N144"/>
      <c r="O144" s="338"/>
      <c r="P144" s="14" t="s">
        <v>9</v>
      </c>
      <c r="Q144" s="316"/>
      <c r="R144" s="317"/>
      <c r="S144" s="317"/>
      <c r="T144" s="317"/>
      <c r="U144" s="318"/>
      <c r="V144" s="488"/>
      <c r="W144" s="517"/>
      <c r="X144" s="489"/>
      <c r="Y144" s="259"/>
      <c r="Z144" s="260"/>
    </row>
    <row r="145" spans="2:26" ht="14.5" customHeight="1" x14ac:dyDescent="0.35">
      <c r="B145" s="354">
        <v>64</v>
      </c>
      <c r="C145" s="43" t="s">
        <v>9</v>
      </c>
      <c r="D145" s="458"/>
      <c r="E145" s="459"/>
      <c r="F145" s="459"/>
      <c r="G145" s="459"/>
      <c r="H145" s="460"/>
      <c r="I145" s="262"/>
      <c r="J145" s="263"/>
      <c r="K145" s="264"/>
      <c r="L145" s="341"/>
      <c r="M145" s="340"/>
      <c r="N145"/>
      <c r="O145" s="354">
        <v>63</v>
      </c>
      <c r="P145" s="43">
        <v>19305</v>
      </c>
      <c r="Q145" s="458" t="s">
        <v>188</v>
      </c>
      <c r="R145" s="459"/>
      <c r="S145" s="459"/>
      <c r="T145" s="459"/>
      <c r="U145" s="460"/>
      <c r="V145" s="262" t="s">
        <v>29</v>
      </c>
      <c r="W145" s="263"/>
      <c r="X145" s="264"/>
      <c r="Y145" s="262" t="s">
        <v>12</v>
      </c>
      <c r="Z145" s="264"/>
    </row>
    <row r="146" spans="2:26" ht="14.5" customHeight="1" x14ac:dyDescent="0.35">
      <c r="B146" s="355"/>
      <c r="C146" s="47">
        <v>19997</v>
      </c>
      <c r="D146" s="372" t="s">
        <v>189</v>
      </c>
      <c r="E146" s="373"/>
      <c r="F146" s="373"/>
      <c r="G146" s="373"/>
      <c r="H146" s="374"/>
      <c r="I146" s="394" t="s">
        <v>25</v>
      </c>
      <c r="J146" s="370"/>
      <c r="K146" s="395"/>
      <c r="L146" s="283" t="s">
        <v>12</v>
      </c>
      <c r="M146" s="284"/>
      <c r="O146" s="355"/>
      <c r="P146" s="44">
        <v>19884</v>
      </c>
      <c r="Q146" s="558" t="s">
        <v>100</v>
      </c>
      <c r="R146" s="222"/>
      <c r="S146" s="222"/>
      <c r="T146" s="222"/>
      <c r="U146" s="225"/>
      <c r="V146" s="414" t="s">
        <v>19</v>
      </c>
      <c r="W146" s="415"/>
      <c r="X146" s="416"/>
      <c r="Y146" s="231" t="s">
        <v>12</v>
      </c>
      <c r="Z146" s="233"/>
    </row>
    <row r="147" spans="2:26" ht="14.5" customHeight="1" x14ac:dyDescent="0.35">
      <c r="B147" s="355"/>
      <c r="C147" s="47">
        <v>18983</v>
      </c>
      <c r="D147" s="420" t="s">
        <v>237</v>
      </c>
      <c r="E147" s="421"/>
      <c r="F147" s="421"/>
      <c r="G147" s="421"/>
      <c r="H147" s="422"/>
      <c r="I147" s="414" t="s">
        <v>236</v>
      </c>
      <c r="J147" s="415"/>
      <c r="K147" s="416"/>
      <c r="L147" s="226" t="s">
        <v>12</v>
      </c>
      <c r="M147" s="227"/>
      <c r="N147"/>
      <c r="O147" s="355"/>
      <c r="P147" s="46" t="s">
        <v>9</v>
      </c>
      <c r="Q147" s="224"/>
      <c r="R147" s="222"/>
      <c r="S147" s="222"/>
      <c r="T147" s="222"/>
      <c r="U147" s="225"/>
      <c r="V147" s="231"/>
      <c r="W147" s="232"/>
      <c r="X147" s="233"/>
      <c r="Y147" s="231"/>
      <c r="Z147" s="233"/>
    </row>
    <row r="148" spans="2:26" ht="14.5" customHeight="1" x14ac:dyDescent="0.35">
      <c r="B148" s="356"/>
      <c r="C148" s="45" t="s">
        <v>9</v>
      </c>
      <c r="D148" s="351"/>
      <c r="E148" s="352"/>
      <c r="F148" s="352"/>
      <c r="G148" s="352"/>
      <c r="H148" s="353"/>
      <c r="I148" s="616"/>
      <c r="J148" s="617"/>
      <c r="K148" s="618"/>
      <c r="L148" s="346"/>
      <c r="M148" s="347"/>
      <c r="N148"/>
      <c r="O148" s="356"/>
      <c r="P148" s="193" t="s">
        <v>9</v>
      </c>
      <c r="Q148" s="578"/>
      <c r="R148" s="579"/>
      <c r="S148" s="579"/>
      <c r="T148" s="579"/>
      <c r="U148" s="580"/>
      <c r="V148" s="581"/>
      <c r="W148" s="582"/>
      <c r="X148" s="583"/>
      <c r="Y148" s="346"/>
      <c r="Z148" s="250"/>
    </row>
    <row r="149" spans="2:26" ht="15.75" customHeight="1" x14ac:dyDescent="0.35">
      <c r="C149" s="139"/>
      <c r="D149"/>
      <c r="E149"/>
      <c r="F149"/>
      <c r="G149"/>
      <c r="H149"/>
      <c r="I149"/>
      <c r="J149"/>
      <c r="K149"/>
      <c r="L149"/>
      <c r="N149"/>
    </row>
    <row r="150" spans="2:26" ht="15" thickBot="1" x14ac:dyDescent="0.4">
      <c r="C150"/>
      <c r="D150"/>
      <c r="E150"/>
      <c r="F150"/>
      <c r="G150"/>
      <c r="T150"/>
      <c r="U150"/>
      <c r="V150"/>
      <c r="W150"/>
      <c r="X150"/>
      <c r="Y150"/>
      <c r="Z150"/>
    </row>
    <row r="151" spans="2:26" ht="14.5" customHeight="1" x14ac:dyDescent="0.35">
      <c r="C151" s="322" t="s">
        <v>190</v>
      </c>
      <c r="D151" s="323"/>
      <c r="E151" s="323"/>
      <c r="F151" s="323"/>
      <c r="G151" s="323"/>
      <c r="H151" s="323"/>
      <c r="I151" s="323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4"/>
    </row>
    <row r="152" spans="2:26" ht="14.5" customHeight="1" x14ac:dyDescent="0.35">
      <c r="C152" s="325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7"/>
    </row>
    <row r="153" spans="2:26" ht="15" customHeight="1" thickBot="1" x14ac:dyDescent="0.4">
      <c r="C153" s="328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30"/>
    </row>
    <row r="155" spans="2:26" x14ac:dyDescent="0.35">
      <c r="Q155" s="71"/>
      <c r="R155"/>
    </row>
    <row r="156" spans="2:26" ht="9" customHeight="1" x14ac:dyDescent="0.35">
      <c r="B156" s="454"/>
      <c r="C156" s="454"/>
      <c r="D156" s="454"/>
      <c r="E156" s="455" t="s">
        <v>191</v>
      </c>
      <c r="F156" s="274"/>
      <c r="G156" s="274"/>
      <c r="H156" s="274"/>
      <c r="I156" s="274"/>
      <c r="J156" s="274"/>
      <c r="K156" s="274"/>
      <c r="L156" s="274"/>
      <c r="M156" s="275"/>
      <c r="N156"/>
      <c r="O156" s="237"/>
      <c r="P156" s="238"/>
      <c r="Q156" s="239"/>
      <c r="R156" s="455" t="s">
        <v>192</v>
      </c>
      <c r="S156" s="274"/>
      <c r="T156" s="274"/>
      <c r="U156" s="274"/>
      <c r="V156" s="274"/>
      <c r="W156" s="274"/>
      <c r="X156" s="274"/>
      <c r="Y156" s="274"/>
      <c r="Z156" s="275"/>
    </row>
    <row r="157" spans="2:26" ht="9" customHeight="1" x14ac:dyDescent="0.35">
      <c r="B157" s="454"/>
      <c r="C157" s="454"/>
      <c r="D157" s="454"/>
      <c r="E157" s="456"/>
      <c r="F157" s="276"/>
      <c r="G157" s="276"/>
      <c r="H157" s="276"/>
      <c r="I157" s="276"/>
      <c r="J157" s="276"/>
      <c r="K157" s="276"/>
      <c r="L157" s="276"/>
      <c r="M157" s="277"/>
      <c r="N157"/>
      <c r="O157" s="240"/>
      <c r="P157" s="241"/>
      <c r="Q157" s="242"/>
      <c r="R157" s="456"/>
      <c r="S157" s="276"/>
      <c r="T157" s="276"/>
      <c r="U157" s="276"/>
      <c r="V157" s="276"/>
      <c r="W157" s="276"/>
      <c r="X157" s="276"/>
      <c r="Y157" s="276"/>
      <c r="Z157" s="277"/>
    </row>
    <row r="158" spans="2:26" ht="9" customHeight="1" x14ac:dyDescent="0.35">
      <c r="B158" s="454"/>
      <c r="C158" s="454"/>
      <c r="D158" s="454"/>
      <c r="E158" s="457"/>
      <c r="F158" s="278"/>
      <c r="G158" s="278"/>
      <c r="H158" s="278"/>
      <c r="I158" s="278"/>
      <c r="J158" s="278"/>
      <c r="K158" s="278"/>
      <c r="L158" s="278"/>
      <c r="M158" s="279"/>
      <c r="N158"/>
      <c r="O158" s="243"/>
      <c r="P158" s="244"/>
      <c r="Q158" s="245"/>
      <c r="R158" s="457"/>
      <c r="S158" s="278"/>
      <c r="T158" s="278"/>
      <c r="U158" s="278"/>
      <c r="V158" s="278"/>
      <c r="W158" s="278"/>
      <c r="X158" s="278"/>
      <c r="Y158" s="278"/>
      <c r="Z158" s="279"/>
    </row>
    <row r="159" spans="2:26" ht="12" customHeight="1" x14ac:dyDescent="0.35">
      <c r="B159" s="138" t="s">
        <v>4</v>
      </c>
      <c r="C159" s="147" t="s">
        <v>5</v>
      </c>
      <c r="D159" s="280" t="s">
        <v>108</v>
      </c>
      <c r="E159" s="281"/>
      <c r="F159" s="281"/>
      <c r="G159" s="281"/>
      <c r="H159" s="282"/>
      <c r="I159" s="280" t="s">
        <v>7</v>
      </c>
      <c r="J159" s="281"/>
      <c r="K159" s="282"/>
      <c r="L159" s="280" t="s">
        <v>8</v>
      </c>
      <c r="M159" s="282"/>
      <c r="N159" s="139"/>
      <c r="O159" s="138" t="s">
        <v>4</v>
      </c>
      <c r="P159" s="147" t="s">
        <v>5</v>
      </c>
      <c r="Q159" s="280" t="s">
        <v>108</v>
      </c>
      <c r="R159" s="281"/>
      <c r="S159" s="281"/>
      <c r="T159" s="281"/>
      <c r="U159" s="282"/>
      <c r="V159" s="280" t="s">
        <v>7</v>
      </c>
      <c r="W159" s="281"/>
      <c r="X159" s="282"/>
      <c r="Y159" s="280" t="s">
        <v>8</v>
      </c>
      <c r="Z159" s="282"/>
    </row>
    <row r="160" spans="2:26" ht="28.5" hidden="1" customHeight="1" x14ac:dyDescent="0.35"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/>
      <c r="O160" s="23"/>
      <c r="P160" s="24"/>
      <c r="Q160" s="23"/>
      <c r="R160" s="20"/>
      <c r="S160" s="22"/>
      <c r="T160" s="22"/>
      <c r="U160" s="22"/>
      <c r="V160" s="22"/>
      <c r="W160" s="22"/>
      <c r="X160" s="22"/>
      <c r="Y160" s="22"/>
      <c r="Z160" s="21"/>
    </row>
    <row r="161" spans="2:26" ht="28.5" hidden="1" customHeight="1" x14ac:dyDescent="0.35">
      <c r="B161" s="9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/>
      <c r="O161" s="23"/>
      <c r="P161" s="24"/>
      <c r="Q161" s="23"/>
      <c r="R161" s="20"/>
      <c r="S161" s="22"/>
      <c r="T161" s="22"/>
      <c r="U161" s="22"/>
      <c r="V161" s="22"/>
      <c r="W161" s="22"/>
      <c r="X161" s="22"/>
      <c r="Y161" s="22"/>
      <c r="Z161" s="21"/>
    </row>
    <row r="162" spans="2:26" ht="28.5" hidden="1" customHeight="1" x14ac:dyDescent="0.35">
      <c r="B162" s="9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/>
      <c r="O162" s="23"/>
      <c r="P162" s="24"/>
      <c r="Q162" s="23"/>
      <c r="R162" s="20"/>
      <c r="S162" s="22"/>
      <c r="T162" s="22"/>
      <c r="U162" s="22"/>
      <c r="V162" s="22"/>
      <c r="W162" s="22"/>
      <c r="X162" s="22"/>
      <c r="Y162" s="22"/>
      <c r="Z162" s="21"/>
    </row>
    <row r="163" spans="2:26" ht="28.5" hidden="1" customHeight="1" x14ac:dyDescent="0.35">
      <c r="B163" s="9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/>
      <c r="O163" s="23"/>
      <c r="P163" s="24"/>
      <c r="Q163" s="23"/>
      <c r="R163" s="20"/>
      <c r="S163" s="22"/>
      <c r="T163" s="22"/>
      <c r="U163" s="22"/>
      <c r="V163" s="22"/>
      <c r="W163" s="22"/>
      <c r="X163" s="22"/>
      <c r="Y163" s="22"/>
      <c r="Z163" s="21"/>
    </row>
    <row r="164" spans="2:26" ht="28.5" hidden="1" customHeight="1" x14ac:dyDescent="0.35"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/>
      <c r="O164" s="23"/>
      <c r="P164" s="24"/>
      <c r="Q164" s="23"/>
      <c r="R164" s="20"/>
      <c r="S164" s="22"/>
      <c r="T164" s="22"/>
      <c r="U164" s="22"/>
      <c r="V164" s="22"/>
      <c r="W164" s="22"/>
      <c r="X164" s="22"/>
      <c r="Y164" s="22"/>
      <c r="Z164" s="21"/>
    </row>
    <row r="165" spans="2:26" ht="28.5" hidden="1" customHeight="1" x14ac:dyDescent="0.35"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/>
      <c r="O165" s="23"/>
      <c r="P165" s="24"/>
      <c r="Q165" s="23"/>
      <c r="R165" s="20"/>
      <c r="S165" s="22"/>
      <c r="T165" s="22"/>
      <c r="U165" s="22"/>
      <c r="V165" s="22"/>
      <c r="W165" s="22"/>
      <c r="X165" s="22"/>
      <c r="Y165" s="22"/>
      <c r="Z165" s="21"/>
    </row>
    <row r="166" spans="2:26" ht="28.5" hidden="1" customHeight="1" x14ac:dyDescent="0.35"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/>
      <c r="O166" s="23"/>
      <c r="P166" s="24"/>
      <c r="Q166" s="23"/>
      <c r="R166" s="20"/>
      <c r="S166" s="22"/>
      <c r="T166" s="22"/>
      <c r="U166" s="22"/>
      <c r="V166" s="22"/>
      <c r="W166" s="22"/>
      <c r="X166" s="22"/>
      <c r="Y166" s="22"/>
      <c r="Z166" s="21"/>
    </row>
    <row r="167" spans="2:26" ht="28.5" hidden="1" customHeight="1" x14ac:dyDescent="0.35">
      <c r="B167" s="9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/>
      <c r="O167" s="28"/>
      <c r="P167" s="15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2:26" ht="13" customHeight="1" x14ac:dyDescent="0.35">
      <c r="B168" s="569">
        <v>66</v>
      </c>
      <c r="C168" s="44">
        <v>20002</v>
      </c>
      <c r="D168" s="224" t="s">
        <v>202</v>
      </c>
      <c r="E168" s="222"/>
      <c r="F168" s="222"/>
      <c r="G168" s="222"/>
      <c r="H168" s="225"/>
      <c r="I168" s="231" t="s">
        <v>25</v>
      </c>
      <c r="J168" s="232"/>
      <c r="K168" s="233"/>
      <c r="L168" s="339" t="s">
        <v>12</v>
      </c>
      <c r="M168" s="340"/>
      <c r="N168"/>
      <c r="O168" s="569">
        <v>65</v>
      </c>
      <c r="P168" s="155" t="s">
        <v>9</v>
      </c>
      <c r="Q168" s="426"/>
      <c r="R168" s="427"/>
      <c r="S168" s="427"/>
      <c r="T168" s="427"/>
      <c r="U168" s="428"/>
      <c r="V168" s="411"/>
      <c r="W168" s="412"/>
      <c r="X168" s="413"/>
      <c r="Y168" s="339"/>
      <c r="Z168" s="340"/>
    </row>
    <row r="169" spans="2:26" ht="13" customHeight="1" x14ac:dyDescent="0.35">
      <c r="B169" s="570"/>
      <c r="C169" s="44">
        <v>19371</v>
      </c>
      <c r="D169" s="224" t="s">
        <v>193</v>
      </c>
      <c r="E169" s="222"/>
      <c r="F169" s="222"/>
      <c r="G169" s="222"/>
      <c r="H169" s="225"/>
      <c r="I169" s="232" t="s">
        <v>194</v>
      </c>
      <c r="J169" s="232"/>
      <c r="K169" s="302"/>
      <c r="L169" s="261" t="s">
        <v>12</v>
      </c>
      <c r="M169" s="227"/>
      <c r="N169"/>
      <c r="O169" s="570"/>
      <c r="P169" s="44"/>
      <c r="Q169" s="420"/>
      <c r="R169" s="421"/>
      <c r="S169" s="421"/>
      <c r="T169" s="421"/>
      <c r="U169" s="422"/>
      <c r="V169" s="414"/>
      <c r="W169" s="415"/>
      <c r="X169" s="416"/>
      <c r="Y169" s="232"/>
      <c r="Z169" s="233"/>
    </row>
    <row r="170" spans="2:26" ht="13" customHeight="1" x14ac:dyDescent="0.35">
      <c r="B170" s="570"/>
      <c r="C170" s="47">
        <v>18891</v>
      </c>
      <c r="D170" s="224" t="s">
        <v>196</v>
      </c>
      <c r="E170" s="222"/>
      <c r="F170" s="222"/>
      <c r="G170" s="222"/>
      <c r="H170" s="225"/>
      <c r="I170" s="231" t="s">
        <v>182</v>
      </c>
      <c r="J170" s="232"/>
      <c r="K170" s="233"/>
      <c r="L170" s="261" t="s">
        <v>12</v>
      </c>
      <c r="M170" s="227"/>
      <c r="N170"/>
      <c r="O170" s="570"/>
      <c r="P170" s="44" t="s">
        <v>9</v>
      </c>
      <c r="Q170" s="420"/>
      <c r="R170" s="421"/>
      <c r="S170" s="421"/>
      <c r="T170" s="421"/>
      <c r="U170" s="422"/>
      <c r="V170" s="414"/>
      <c r="W170" s="415"/>
      <c r="X170" s="416"/>
      <c r="Y170" s="232"/>
      <c r="Z170" s="233"/>
    </row>
    <row r="171" spans="2:26" ht="13" customHeight="1" x14ac:dyDescent="0.35">
      <c r="B171" s="571"/>
      <c r="C171" s="190"/>
      <c r="D171" s="562"/>
      <c r="E171" s="352"/>
      <c r="F171" s="352"/>
      <c r="G171" s="352"/>
      <c r="H171" s="353"/>
      <c r="I171" s="249"/>
      <c r="J171" s="249"/>
      <c r="K171" s="577"/>
      <c r="L171" s="490"/>
      <c r="M171" s="347"/>
      <c r="N171"/>
      <c r="O171" s="571"/>
      <c r="P171" s="45"/>
      <c r="Q171" s="197"/>
      <c r="R171" s="198"/>
      <c r="S171" s="198"/>
      <c r="T171" s="198"/>
      <c r="U171" s="199"/>
      <c r="V171" s="200"/>
      <c r="W171" s="201"/>
      <c r="X171" s="202"/>
      <c r="Y171" s="249"/>
      <c r="Z171" s="250"/>
    </row>
    <row r="172" spans="2:26" ht="13" customHeight="1" x14ac:dyDescent="0.35">
      <c r="B172" s="609">
        <v>68</v>
      </c>
      <c r="C172" s="11" t="s">
        <v>9</v>
      </c>
      <c r="D172" s="705"/>
      <c r="E172" s="706"/>
      <c r="F172" s="706"/>
      <c r="G172" s="706"/>
      <c r="H172" s="707"/>
      <c r="I172" s="603"/>
      <c r="J172" s="604"/>
      <c r="K172" s="605"/>
      <c r="L172" s="246"/>
      <c r="M172" s="247"/>
      <c r="N172"/>
      <c r="O172" s="555">
        <v>67</v>
      </c>
      <c r="P172" s="11" t="s">
        <v>9</v>
      </c>
      <c r="Q172" s="492"/>
      <c r="R172" s="210"/>
      <c r="S172" s="210"/>
      <c r="T172" s="210"/>
      <c r="U172" s="211"/>
      <c r="V172" s="265"/>
      <c r="W172" s="266"/>
      <c r="X172" s="267"/>
      <c r="Y172" s="438"/>
      <c r="Z172" s="247"/>
    </row>
    <row r="173" spans="2:26" ht="13" customHeight="1" x14ac:dyDescent="0.35">
      <c r="B173" s="559"/>
      <c r="C173" s="130" t="s">
        <v>9</v>
      </c>
      <c r="D173" s="212"/>
      <c r="E173" s="213"/>
      <c r="F173" s="213"/>
      <c r="G173" s="213"/>
      <c r="H173" s="214"/>
      <c r="I173" s="292"/>
      <c r="J173" s="293"/>
      <c r="K173" s="294"/>
      <c r="L173" s="288"/>
      <c r="M173" s="289"/>
      <c r="N173"/>
      <c r="O173" s="556"/>
      <c r="P173" s="13" t="s">
        <v>9</v>
      </c>
      <c r="Q173" s="228"/>
      <c r="R173" s="229"/>
      <c r="S173" s="229"/>
      <c r="T173" s="229"/>
      <c r="U173" s="230"/>
      <c r="V173" s="256"/>
      <c r="W173" s="257"/>
      <c r="X173" s="258"/>
      <c r="Y173" s="232"/>
      <c r="Z173" s="233"/>
    </row>
    <row r="174" spans="2:26" ht="13" customHeight="1" x14ac:dyDescent="0.35">
      <c r="B174" s="559"/>
      <c r="C174" s="13" t="s">
        <v>9</v>
      </c>
      <c r="D174" s="303"/>
      <c r="E174" s="304"/>
      <c r="F174" s="304"/>
      <c r="G174" s="304"/>
      <c r="H174" s="305"/>
      <c r="I174" s="285"/>
      <c r="J174" s="286"/>
      <c r="K174" s="287"/>
      <c r="L174" s="283"/>
      <c r="M174" s="284"/>
      <c r="N174"/>
      <c r="O174" s="556"/>
      <c r="P174" s="13" t="s">
        <v>9</v>
      </c>
      <c r="Q174" s="228"/>
      <c r="R174" s="229"/>
      <c r="S174" s="229"/>
      <c r="T174" s="229"/>
      <c r="U174" s="230"/>
      <c r="V174" s="256"/>
      <c r="W174" s="257"/>
      <c r="X174" s="258"/>
      <c r="Y174" s="232"/>
      <c r="Z174" s="233"/>
    </row>
    <row r="175" spans="2:26" ht="13" customHeight="1" x14ac:dyDescent="0.35">
      <c r="B175" s="560"/>
      <c r="C175" s="14" t="s">
        <v>9</v>
      </c>
      <c r="D175" s="610"/>
      <c r="E175" s="611"/>
      <c r="F175" s="611"/>
      <c r="G175" s="611"/>
      <c r="H175" s="612"/>
      <c r="I175" s="297"/>
      <c r="J175" s="298"/>
      <c r="K175" s="299"/>
      <c r="L175" s="259"/>
      <c r="M175" s="260"/>
      <c r="N175"/>
      <c r="O175" s="557"/>
      <c r="P175" s="14" t="s">
        <v>9</v>
      </c>
      <c r="Q175" s="215"/>
      <c r="R175" s="216"/>
      <c r="S175" s="216"/>
      <c r="T175" s="216"/>
      <c r="U175" s="217"/>
      <c r="V175" s="380"/>
      <c r="W175" s="309"/>
      <c r="X175" s="310"/>
      <c r="Y175" s="249"/>
      <c r="Z175" s="250"/>
    </row>
    <row r="176" spans="2:26" ht="13" customHeight="1" x14ac:dyDescent="0.35">
      <c r="B176" s="569">
        <v>70</v>
      </c>
      <c r="C176" s="43" t="s">
        <v>9</v>
      </c>
      <c r="D176" s="458"/>
      <c r="E176" s="459"/>
      <c r="F176" s="459"/>
      <c r="G176" s="459"/>
      <c r="H176" s="460"/>
      <c r="I176" s="370"/>
      <c r="J176" s="370"/>
      <c r="K176" s="371"/>
      <c r="L176" s="339"/>
      <c r="M176" s="340"/>
      <c r="N176"/>
      <c r="O176" s="555">
        <v>69</v>
      </c>
      <c r="P176" s="43" t="s">
        <v>9</v>
      </c>
      <c r="Q176" s="863"/>
      <c r="R176" s="427"/>
      <c r="S176" s="427"/>
      <c r="T176" s="427"/>
      <c r="U176" s="428"/>
      <c r="V176" s="411"/>
      <c r="W176" s="412"/>
      <c r="X176" s="413"/>
      <c r="Y176" s="339"/>
      <c r="Z176" s="340"/>
    </row>
    <row r="177" spans="2:29" ht="13" customHeight="1" x14ac:dyDescent="0.35">
      <c r="B177" s="570"/>
      <c r="C177" s="155" t="s">
        <v>9</v>
      </c>
      <c r="D177" s="224"/>
      <c r="E177" s="222"/>
      <c r="F177" s="222"/>
      <c r="G177" s="222"/>
      <c r="H177" s="225"/>
      <c r="I177" s="232"/>
      <c r="J177" s="232"/>
      <c r="K177" s="302"/>
      <c r="L177" s="261"/>
      <c r="M177" s="227"/>
      <c r="N177"/>
      <c r="O177" s="556"/>
      <c r="P177" s="44" t="s">
        <v>9</v>
      </c>
      <c r="Q177" s="420"/>
      <c r="R177" s="421"/>
      <c r="S177" s="421"/>
      <c r="T177" s="421"/>
      <c r="U177" s="422"/>
      <c r="V177" s="414"/>
      <c r="W177" s="415"/>
      <c r="X177" s="416"/>
      <c r="Y177" s="232"/>
      <c r="Z177" s="233"/>
    </row>
    <row r="178" spans="2:29" ht="13" customHeight="1" x14ac:dyDescent="0.35">
      <c r="B178" s="570"/>
      <c r="C178" s="44" t="s">
        <v>9</v>
      </c>
      <c r="D178" s="224"/>
      <c r="E178" s="222"/>
      <c r="F178" s="222"/>
      <c r="G178" s="222"/>
      <c r="H178" s="225"/>
      <c r="I178" s="232"/>
      <c r="J178" s="232"/>
      <c r="K178" s="302"/>
      <c r="L178" s="261"/>
      <c r="M178" s="227"/>
      <c r="N178"/>
      <c r="O178" s="556"/>
      <c r="P178" s="44" t="s">
        <v>9</v>
      </c>
      <c r="Q178" s="224"/>
      <c r="R178" s="222"/>
      <c r="S178" s="222"/>
      <c r="T178" s="222"/>
      <c r="U178" s="225"/>
      <c r="V178" s="231"/>
      <c r="W178" s="232"/>
      <c r="X178" s="302"/>
      <c r="Y178" s="232"/>
      <c r="Z178" s="233"/>
    </row>
    <row r="179" spans="2:29" ht="13" customHeight="1" x14ac:dyDescent="0.35">
      <c r="B179" s="571"/>
      <c r="C179" s="45" t="s">
        <v>9</v>
      </c>
      <c r="D179" s="613"/>
      <c r="E179" s="614"/>
      <c r="F179" s="614"/>
      <c r="G179" s="614"/>
      <c r="H179" s="615"/>
      <c r="I179" s="504"/>
      <c r="J179" s="504"/>
      <c r="K179" s="599"/>
      <c r="L179" s="490"/>
      <c r="M179" s="347"/>
      <c r="N179"/>
      <c r="O179" s="557"/>
      <c r="P179" s="44" t="s">
        <v>9</v>
      </c>
      <c r="Q179" s="420"/>
      <c r="R179" s="421"/>
      <c r="S179" s="421"/>
      <c r="T179" s="421"/>
      <c r="U179" s="422"/>
      <c r="V179" s="414"/>
      <c r="W179" s="415"/>
      <c r="X179" s="416"/>
      <c r="Y179" s="261"/>
      <c r="Z179" s="227"/>
    </row>
    <row r="180" spans="2:29" ht="13" customHeight="1" x14ac:dyDescent="0.35">
      <c r="B180" s="609">
        <v>72</v>
      </c>
      <c r="C180" s="130" t="s">
        <v>9</v>
      </c>
      <c r="D180" s="303"/>
      <c r="E180" s="304"/>
      <c r="F180" s="304"/>
      <c r="G180" s="304"/>
      <c r="H180" s="305"/>
      <c r="I180" s="206"/>
      <c r="J180" s="207"/>
      <c r="K180" s="208"/>
      <c r="L180" s="246"/>
      <c r="M180" s="247"/>
      <c r="N180"/>
      <c r="O180" s="609">
        <v>71</v>
      </c>
      <c r="P180" s="11" t="s">
        <v>9</v>
      </c>
      <c r="Q180" s="833"/>
      <c r="R180" s="834"/>
      <c r="S180" s="834"/>
      <c r="T180" s="834"/>
      <c r="U180" s="835"/>
      <c r="V180" s="821"/>
      <c r="W180" s="822"/>
      <c r="X180" s="823"/>
      <c r="Y180" s="339"/>
      <c r="Z180" s="340"/>
    </row>
    <row r="181" spans="2:29" ht="13" customHeight="1" x14ac:dyDescent="0.35">
      <c r="B181" s="559"/>
      <c r="C181" s="13" t="s">
        <v>9</v>
      </c>
      <c r="D181" s="303"/>
      <c r="E181" s="304"/>
      <c r="F181" s="304"/>
      <c r="G181" s="304"/>
      <c r="H181" s="305"/>
      <c r="I181" s="285"/>
      <c r="J181" s="286"/>
      <c r="K181" s="287"/>
      <c r="L181" s="283"/>
      <c r="M181" s="284"/>
      <c r="N181"/>
      <c r="O181" s="559"/>
      <c r="P181" s="13" t="s">
        <v>9</v>
      </c>
      <c r="Q181" s="228"/>
      <c r="R181" s="229"/>
      <c r="S181" s="229"/>
      <c r="T181" s="229"/>
      <c r="U181" s="230"/>
      <c r="V181" s="256"/>
      <c r="W181" s="257"/>
      <c r="X181" s="258"/>
      <c r="Y181" s="232"/>
      <c r="Z181" s="233"/>
    </row>
    <row r="182" spans="2:29" ht="13" customHeight="1" x14ac:dyDescent="0.35">
      <c r="B182" s="559"/>
      <c r="C182" s="13" t="s">
        <v>9</v>
      </c>
      <c r="D182" s="303"/>
      <c r="E182" s="304"/>
      <c r="F182" s="304"/>
      <c r="G182" s="304"/>
      <c r="H182" s="305"/>
      <c r="I182" s="285"/>
      <c r="J182" s="286"/>
      <c r="K182" s="287"/>
      <c r="L182" s="283"/>
      <c r="M182" s="284"/>
      <c r="N182"/>
      <c r="O182" s="559"/>
      <c r="P182" s="130" t="s">
        <v>9</v>
      </c>
      <c r="Q182" s="228"/>
      <c r="R182" s="229"/>
      <c r="S182" s="229"/>
      <c r="T182" s="229"/>
      <c r="U182" s="230"/>
      <c r="V182" s="256"/>
      <c r="W182" s="257"/>
      <c r="X182" s="258"/>
      <c r="Y182" s="286"/>
      <c r="Z182" s="287"/>
    </row>
    <row r="183" spans="2:29" ht="13" customHeight="1" x14ac:dyDescent="0.35">
      <c r="B183" s="560"/>
      <c r="C183" s="62" t="s">
        <v>9</v>
      </c>
      <c r="D183" s="524"/>
      <c r="E183" s="525"/>
      <c r="F183" s="525"/>
      <c r="G183" s="525"/>
      <c r="H183" s="526"/>
      <c r="I183" s="488"/>
      <c r="J183" s="517"/>
      <c r="K183" s="489"/>
      <c r="L183" s="259"/>
      <c r="M183" s="260"/>
      <c r="N183"/>
      <c r="O183" s="560"/>
      <c r="P183" s="14">
        <v>18887</v>
      </c>
      <c r="Q183" s="215" t="s">
        <v>211</v>
      </c>
      <c r="R183" s="216"/>
      <c r="S183" s="216"/>
      <c r="T183" s="216"/>
      <c r="U183" s="217"/>
      <c r="V183" s="380" t="s">
        <v>84</v>
      </c>
      <c r="W183" s="309"/>
      <c r="X183" s="310"/>
      <c r="Y183" s="249" t="s">
        <v>12</v>
      </c>
      <c r="Z183" s="250"/>
    </row>
    <row r="184" spans="2:29" ht="13" customHeight="1" x14ac:dyDescent="0.35">
      <c r="B184" s="569">
        <v>74</v>
      </c>
      <c r="C184" s="43" t="s">
        <v>9</v>
      </c>
      <c r="D184" s="458"/>
      <c r="E184" s="459"/>
      <c r="F184" s="459"/>
      <c r="G184" s="459"/>
      <c r="H184" s="460"/>
      <c r="I184" s="262"/>
      <c r="J184" s="263"/>
      <c r="K184" s="264"/>
      <c r="L184" s="226"/>
      <c r="M184" s="227"/>
      <c r="N184"/>
      <c r="O184" s="569">
        <v>73</v>
      </c>
      <c r="P184" s="155" t="s">
        <v>9</v>
      </c>
      <c r="Q184" s="426"/>
      <c r="R184" s="427"/>
      <c r="S184" s="427"/>
      <c r="T184" s="427"/>
      <c r="U184" s="428"/>
      <c r="V184" s="411"/>
      <c r="W184" s="412"/>
      <c r="X184" s="413"/>
      <c r="Y184" s="339"/>
      <c r="Z184" s="340"/>
    </row>
    <row r="185" spans="2:29" ht="13" customHeight="1" x14ac:dyDescent="0.35">
      <c r="B185" s="570"/>
      <c r="C185" s="44" t="s">
        <v>9</v>
      </c>
      <c r="D185" s="224"/>
      <c r="E185" s="222"/>
      <c r="F185" s="222"/>
      <c r="G185" s="222"/>
      <c r="H185" s="225"/>
      <c r="I185" s="268"/>
      <c r="J185" s="269"/>
      <c r="K185" s="270"/>
      <c r="L185" s="226"/>
      <c r="M185" s="227"/>
      <c r="N185"/>
      <c r="O185" s="570"/>
      <c r="P185" s="44" t="s">
        <v>9</v>
      </c>
      <c r="Q185" s="420"/>
      <c r="R185" s="421"/>
      <c r="S185" s="421"/>
      <c r="T185" s="421"/>
      <c r="U185" s="422"/>
      <c r="V185" s="414"/>
      <c r="W185" s="415"/>
      <c r="X185" s="416"/>
      <c r="Y185" s="232"/>
      <c r="Z185" s="233"/>
    </row>
    <row r="186" spans="2:29" ht="13" customHeight="1" x14ac:dyDescent="0.35">
      <c r="B186" s="570"/>
      <c r="C186" s="44" t="s">
        <v>9</v>
      </c>
      <c r="D186" s="372"/>
      <c r="E186" s="373"/>
      <c r="F186" s="373"/>
      <c r="G186" s="373"/>
      <c r="H186" s="374"/>
      <c r="I186" s="231"/>
      <c r="J186" s="232"/>
      <c r="K186" s="233"/>
      <c r="L186" s="226"/>
      <c r="M186" s="227"/>
      <c r="N186"/>
      <c r="O186" s="570"/>
      <c r="P186" s="44" t="s">
        <v>9</v>
      </c>
      <c r="Q186" s="420"/>
      <c r="R186" s="421"/>
      <c r="S186" s="421"/>
      <c r="T186" s="421"/>
      <c r="U186" s="422"/>
      <c r="V186" s="414"/>
      <c r="W186" s="415"/>
      <c r="X186" s="416"/>
      <c r="Y186" s="232"/>
      <c r="Z186" s="233"/>
    </row>
    <row r="187" spans="2:29" ht="13" customHeight="1" x14ac:dyDescent="0.35">
      <c r="B187" s="570"/>
      <c r="C187" s="45" t="s">
        <v>9</v>
      </c>
      <c r="D187" s="566"/>
      <c r="E187" s="567"/>
      <c r="F187" s="567"/>
      <c r="G187" s="567"/>
      <c r="H187" s="568"/>
      <c r="I187" s="563"/>
      <c r="J187" s="564"/>
      <c r="K187" s="565"/>
      <c r="L187" s="346"/>
      <c r="M187" s="347"/>
      <c r="N187"/>
      <c r="O187" s="571"/>
      <c r="P187" s="155" t="s">
        <v>9</v>
      </c>
      <c r="Q187" s="420"/>
      <c r="R187" s="421"/>
      <c r="S187" s="421"/>
      <c r="T187" s="421"/>
      <c r="U187" s="421"/>
      <c r="V187" s="381"/>
      <c r="W187" s="232"/>
      <c r="X187" s="302"/>
      <c r="Y187" s="249"/>
      <c r="Z187" s="250"/>
    </row>
    <row r="188" spans="2:29" ht="13" customHeight="1" x14ac:dyDescent="0.35">
      <c r="B188" s="609">
        <v>76</v>
      </c>
      <c r="C188" s="11" t="s">
        <v>9</v>
      </c>
      <c r="D188" s="212"/>
      <c r="E188" s="213"/>
      <c r="F188" s="213"/>
      <c r="G188" s="213"/>
      <c r="H188" s="214"/>
      <c r="I188" s="206"/>
      <c r="J188" s="207"/>
      <c r="K188" s="208"/>
      <c r="L188" s="246"/>
      <c r="M188" s="247"/>
      <c r="N188"/>
      <c r="O188" s="555">
        <v>75</v>
      </c>
      <c r="P188" s="11" t="s">
        <v>9</v>
      </c>
      <c r="Q188" s="492"/>
      <c r="R188" s="210"/>
      <c r="S188" s="210"/>
      <c r="T188" s="210"/>
      <c r="U188" s="211"/>
      <c r="V188" s="265"/>
      <c r="W188" s="266"/>
      <c r="X188" s="267"/>
      <c r="Y188" s="207"/>
      <c r="Z188" s="208"/>
      <c r="AC188">
        <v>0</v>
      </c>
    </row>
    <row r="189" spans="2:29" ht="13" customHeight="1" x14ac:dyDescent="0.35">
      <c r="B189" s="559"/>
      <c r="C189" s="13" t="s">
        <v>9</v>
      </c>
      <c r="D189" s="600"/>
      <c r="E189" s="601"/>
      <c r="F189" s="601"/>
      <c r="G189" s="601"/>
      <c r="H189" s="602"/>
      <c r="I189" s="442"/>
      <c r="J189" s="443"/>
      <c r="K189" s="444"/>
      <c r="L189" s="288"/>
      <c r="M189" s="289"/>
      <c r="N189"/>
      <c r="O189" s="556"/>
      <c r="P189" s="13" t="s">
        <v>9</v>
      </c>
      <c r="Q189" s="303"/>
      <c r="R189" s="304"/>
      <c r="S189" s="304"/>
      <c r="T189" s="304"/>
      <c r="U189" s="305"/>
      <c r="V189" s="285"/>
      <c r="W189" s="286"/>
      <c r="X189" s="287"/>
      <c r="Y189" s="491"/>
      <c r="Z189" s="284"/>
    </row>
    <row r="190" spans="2:29" ht="13" customHeight="1" x14ac:dyDescent="0.35">
      <c r="B190" s="559"/>
      <c r="C190" s="12" t="s">
        <v>9</v>
      </c>
      <c r="D190" s="303"/>
      <c r="E190" s="304"/>
      <c r="F190" s="304"/>
      <c r="G190" s="304"/>
      <c r="H190" s="305"/>
      <c r="I190" s="292"/>
      <c r="J190" s="293"/>
      <c r="K190" s="294"/>
      <c r="L190" s="285"/>
      <c r="M190" s="287"/>
      <c r="N190"/>
      <c r="O190" s="556"/>
      <c r="P190" s="128" t="s">
        <v>9</v>
      </c>
      <c r="Q190" s="228"/>
      <c r="R190" s="229"/>
      <c r="S190" s="229"/>
      <c r="T190" s="229"/>
      <c r="U190" s="230"/>
      <c r="V190" s="257"/>
      <c r="W190" s="257"/>
      <c r="X190" s="258"/>
      <c r="Y190" s="261"/>
      <c r="Z190" s="227"/>
    </row>
    <row r="191" spans="2:29" ht="13" customHeight="1" x14ac:dyDescent="0.35">
      <c r="B191" s="560"/>
      <c r="C191" s="14" t="s">
        <v>9</v>
      </c>
      <c r="D191" s="316"/>
      <c r="E191" s="317"/>
      <c r="F191" s="317"/>
      <c r="G191" s="317"/>
      <c r="H191" s="318"/>
      <c r="I191" s="297"/>
      <c r="J191" s="298"/>
      <c r="K191" s="299"/>
      <c r="L191" s="297"/>
      <c r="M191" s="299"/>
      <c r="N191"/>
      <c r="O191" s="557"/>
      <c r="P191" s="130" t="s">
        <v>9</v>
      </c>
      <c r="Q191" s="316"/>
      <c r="R191" s="317"/>
      <c r="S191" s="317"/>
      <c r="T191" s="317"/>
      <c r="U191" s="318"/>
      <c r="V191" s="297"/>
      <c r="W191" s="298"/>
      <c r="X191" s="299"/>
      <c r="Y191" s="490"/>
      <c r="Z191" s="347"/>
    </row>
    <row r="192" spans="2:29" ht="13" customHeight="1" x14ac:dyDescent="0.35">
      <c r="B192" s="569">
        <v>78</v>
      </c>
      <c r="C192" s="44" t="s">
        <v>9</v>
      </c>
      <c r="D192" s="429"/>
      <c r="E192" s="430"/>
      <c r="F192" s="430"/>
      <c r="G192" s="430"/>
      <c r="H192" s="431"/>
      <c r="I192" s="411"/>
      <c r="J192" s="412"/>
      <c r="K192" s="413"/>
      <c r="L192" s="341"/>
      <c r="M192" s="340"/>
      <c r="N192"/>
      <c r="O192" s="555">
        <v>77</v>
      </c>
      <c r="P192" s="43" t="s">
        <v>9</v>
      </c>
      <c r="Q192" s="558"/>
      <c r="R192" s="373"/>
      <c r="S192" s="373"/>
      <c r="T192" s="373"/>
      <c r="U192" s="374"/>
      <c r="V192" s="411"/>
      <c r="W192" s="412"/>
      <c r="X192" s="413"/>
      <c r="Y192" s="339"/>
      <c r="Z192" s="340"/>
    </row>
    <row r="193" spans="2:26" ht="13" customHeight="1" x14ac:dyDescent="0.35">
      <c r="B193" s="570"/>
      <c r="C193" s="44" t="s">
        <v>9</v>
      </c>
      <c r="D193" s="423"/>
      <c r="E193" s="424"/>
      <c r="F193" s="424"/>
      <c r="G193" s="424"/>
      <c r="H193" s="425"/>
      <c r="I193" s="268"/>
      <c r="J193" s="269"/>
      <c r="K193" s="269"/>
      <c r="L193" s="226"/>
      <c r="M193" s="227"/>
      <c r="N193"/>
      <c r="O193" s="556"/>
      <c r="P193" s="44" t="s">
        <v>9</v>
      </c>
      <c r="Q193" s="420"/>
      <c r="R193" s="421"/>
      <c r="S193" s="421"/>
      <c r="T193" s="421"/>
      <c r="U193" s="422"/>
      <c r="V193" s="414"/>
      <c r="W193" s="415"/>
      <c r="X193" s="416"/>
      <c r="Y193" s="232"/>
      <c r="Z193" s="233"/>
    </row>
    <row r="194" spans="2:26" ht="13" customHeight="1" x14ac:dyDescent="0.35">
      <c r="B194" s="570"/>
      <c r="C194" s="44" t="s">
        <v>9</v>
      </c>
      <c r="D194" s="725"/>
      <c r="E194" s="726"/>
      <c r="F194" s="726"/>
      <c r="G194" s="726"/>
      <c r="H194" s="727"/>
      <c r="I194" s="268"/>
      <c r="J194" s="269"/>
      <c r="K194" s="270"/>
      <c r="L194" s="226"/>
      <c r="M194" s="227"/>
      <c r="N194"/>
      <c r="O194" s="556"/>
      <c r="P194" s="44" t="s">
        <v>9</v>
      </c>
      <c r="Q194" s="558"/>
      <c r="R194" s="222"/>
      <c r="S194" s="222"/>
      <c r="T194" s="222"/>
      <c r="U194" s="225"/>
      <c r="V194" s="414"/>
      <c r="W194" s="415"/>
      <c r="X194" s="416"/>
      <c r="Y194" s="232"/>
      <c r="Z194" s="233"/>
    </row>
    <row r="195" spans="2:26" ht="13" customHeight="1" x14ac:dyDescent="0.35">
      <c r="B195" s="571"/>
      <c r="C195" s="47" t="s">
        <v>9</v>
      </c>
      <c r="D195" s="234"/>
      <c r="E195" s="235"/>
      <c r="F195" s="235"/>
      <c r="G195" s="235"/>
      <c r="H195" s="236"/>
      <c r="I195" s="408"/>
      <c r="J195" s="409"/>
      <c r="K195" s="410"/>
      <c r="L195" s="251"/>
      <c r="M195" s="252"/>
      <c r="N195"/>
      <c r="O195" s="557"/>
      <c r="P195" s="45" t="s">
        <v>9</v>
      </c>
      <c r="Q195" s="432"/>
      <c r="R195" s="433"/>
      <c r="S195" s="433"/>
      <c r="T195" s="433"/>
      <c r="U195" s="434"/>
      <c r="V195" s="853"/>
      <c r="W195" s="854"/>
      <c r="X195" s="855"/>
      <c r="Y195" s="249"/>
      <c r="Z195" s="250"/>
    </row>
    <row r="196" spans="2:26" ht="13" customHeight="1" x14ac:dyDescent="0.35">
      <c r="B196" s="609">
        <v>80</v>
      </c>
      <c r="C196" s="11" t="s">
        <v>9</v>
      </c>
      <c r="D196" s="445"/>
      <c r="E196" s="446"/>
      <c r="F196" s="446"/>
      <c r="G196" s="446"/>
      <c r="H196" s="447"/>
      <c r="I196" s="206"/>
      <c r="J196" s="207"/>
      <c r="K196" s="208"/>
      <c r="L196" s="246"/>
      <c r="M196" s="247"/>
      <c r="N196"/>
      <c r="O196" s="552">
        <v>79</v>
      </c>
      <c r="P196" s="11" t="s">
        <v>9</v>
      </c>
      <c r="Q196" s="209"/>
      <c r="R196" s="210"/>
      <c r="S196" s="210"/>
      <c r="T196" s="210"/>
      <c r="U196" s="211"/>
      <c r="V196" s="265"/>
      <c r="W196" s="266"/>
      <c r="X196" s="267"/>
      <c r="Y196" s="339"/>
      <c r="Z196" s="340"/>
    </row>
    <row r="197" spans="2:26" ht="13" customHeight="1" x14ac:dyDescent="0.35">
      <c r="B197" s="559"/>
      <c r="C197" s="13" t="s">
        <v>9</v>
      </c>
      <c r="D197" s="303"/>
      <c r="E197" s="304"/>
      <c r="F197" s="304"/>
      <c r="G197" s="304"/>
      <c r="H197" s="305"/>
      <c r="I197" s="285"/>
      <c r="J197" s="286"/>
      <c r="K197" s="287"/>
      <c r="L197" s="283"/>
      <c r="M197" s="284"/>
      <c r="N197"/>
      <c r="O197" s="553"/>
      <c r="P197" s="13" t="s">
        <v>9</v>
      </c>
      <c r="Q197" s="228"/>
      <c r="R197" s="229"/>
      <c r="S197" s="229"/>
      <c r="T197" s="229"/>
      <c r="U197" s="230"/>
      <c r="V197" s="256"/>
      <c r="W197" s="257"/>
      <c r="X197" s="258"/>
      <c r="Y197" s="286"/>
      <c r="Z197" s="287"/>
    </row>
    <row r="198" spans="2:26" ht="13" customHeight="1" x14ac:dyDescent="0.35">
      <c r="B198" s="559"/>
      <c r="C198" s="13" t="s">
        <v>9</v>
      </c>
      <c r="D198" s="303"/>
      <c r="E198" s="304"/>
      <c r="F198" s="304"/>
      <c r="G198" s="304"/>
      <c r="H198" s="305"/>
      <c r="I198" s="285"/>
      <c r="J198" s="286"/>
      <c r="K198" s="287"/>
      <c r="L198" s="283"/>
      <c r="M198" s="284"/>
      <c r="N198"/>
      <c r="O198" s="553"/>
      <c r="P198" s="13" t="s">
        <v>9</v>
      </c>
      <c r="Q198" s="228"/>
      <c r="R198" s="229"/>
      <c r="S198" s="229"/>
      <c r="T198" s="229"/>
      <c r="U198" s="230"/>
      <c r="V198" s="256"/>
      <c r="W198" s="257"/>
      <c r="X198" s="258"/>
      <c r="Y198" s="232"/>
      <c r="Z198" s="233"/>
    </row>
    <row r="199" spans="2:26" ht="13" customHeight="1" x14ac:dyDescent="0.35">
      <c r="B199" s="560"/>
      <c r="C199" s="14" t="s">
        <v>9</v>
      </c>
      <c r="D199" s="316"/>
      <c r="E199" s="317"/>
      <c r="F199" s="317"/>
      <c r="G199" s="317"/>
      <c r="H199" s="318"/>
      <c r="I199" s="297"/>
      <c r="J199" s="298"/>
      <c r="K199" s="299"/>
      <c r="L199" s="259"/>
      <c r="M199" s="260"/>
      <c r="N199"/>
      <c r="O199" s="554"/>
      <c r="P199" s="14" t="s">
        <v>9</v>
      </c>
      <c r="Q199" s="215"/>
      <c r="R199" s="216"/>
      <c r="S199" s="216"/>
      <c r="T199" s="216"/>
      <c r="U199" s="217"/>
      <c r="V199" s="380"/>
      <c r="W199" s="309"/>
      <c r="X199" s="310"/>
      <c r="Y199" s="249"/>
      <c r="Z199" s="250"/>
    </row>
    <row r="200" spans="2:26" ht="13" customHeight="1" x14ac:dyDescent="0.35">
      <c r="B200" s="701">
        <v>82</v>
      </c>
      <c r="C200" s="43" t="s">
        <v>9</v>
      </c>
      <c r="D200" s="458" t="s">
        <v>227</v>
      </c>
      <c r="E200" s="459"/>
      <c r="F200" s="459"/>
      <c r="G200" s="459"/>
      <c r="H200" s="460"/>
      <c r="I200" s="262" t="s">
        <v>42</v>
      </c>
      <c r="J200" s="263"/>
      <c r="K200" s="264"/>
      <c r="L200" s="341" t="s">
        <v>43</v>
      </c>
      <c r="M200" s="340"/>
      <c r="N200"/>
      <c r="O200" s="555">
        <v>81</v>
      </c>
      <c r="P200" s="43" t="s">
        <v>9</v>
      </c>
      <c r="Q200" s="426"/>
      <c r="R200" s="427"/>
      <c r="S200" s="427"/>
      <c r="T200" s="427"/>
      <c r="U200" s="428"/>
      <c r="V200" s="411"/>
      <c r="W200" s="412"/>
      <c r="X200" s="413"/>
      <c r="Y200" s="339"/>
      <c r="Z200" s="340"/>
    </row>
    <row r="201" spans="2:26" ht="13" customHeight="1" x14ac:dyDescent="0.35">
      <c r="B201" s="701"/>
      <c r="C201" s="44" t="s">
        <v>9</v>
      </c>
      <c r="D201" s="708"/>
      <c r="E201" s="709"/>
      <c r="F201" s="709"/>
      <c r="G201" s="709"/>
      <c r="H201" s="710"/>
      <c r="I201" s="231"/>
      <c r="J201" s="232"/>
      <c r="K201" s="233"/>
      <c r="L201" s="226"/>
      <c r="M201" s="227"/>
      <c r="N201"/>
      <c r="O201" s="556"/>
      <c r="P201" s="155" t="s">
        <v>9</v>
      </c>
      <c r="Q201" s="420"/>
      <c r="R201" s="421"/>
      <c r="S201" s="421"/>
      <c r="T201" s="421"/>
      <c r="U201" s="422"/>
      <c r="V201" s="414"/>
      <c r="W201" s="415"/>
      <c r="X201" s="416"/>
      <c r="Y201" s="232"/>
      <c r="Z201" s="233"/>
    </row>
    <row r="202" spans="2:26" ht="13" customHeight="1" x14ac:dyDescent="0.35">
      <c r="B202" s="701"/>
      <c r="C202" s="44" t="s">
        <v>9</v>
      </c>
      <c r="D202" s="708"/>
      <c r="E202" s="709"/>
      <c r="F202" s="709"/>
      <c r="G202" s="709"/>
      <c r="H202" s="710"/>
      <c r="I202" s="231"/>
      <c r="J202" s="232"/>
      <c r="K202" s="233"/>
      <c r="L202" s="226"/>
      <c r="M202" s="227"/>
      <c r="N202"/>
      <c r="O202" s="556"/>
      <c r="P202" s="44" t="s">
        <v>9</v>
      </c>
      <c r="Q202" s="420"/>
      <c r="R202" s="421"/>
      <c r="S202" s="421"/>
      <c r="T202" s="421"/>
      <c r="U202" s="422"/>
      <c r="V202" s="414"/>
      <c r="W202" s="415"/>
      <c r="X202" s="416"/>
      <c r="Y202" s="232"/>
      <c r="Z202" s="233"/>
    </row>
    <row r="203" spans="2:26" ht="13" customHeight="1" x14ac:dyDescent="0.35">
      <c r="B203" s="701"/>
      <c r="C203" s="45" t="s">
        <v>9</v>
      </c>
      <c r="D203" s="351"/>
      <c r="E203" s="352"/>
      <c r="F203" s="352"/>
      <c r="G203" s="352"/>
      <c r="H203" s="353"/>
      <c r="I203" s="248"/>
      <c r="J203" s="249"/>
      <c r="K203" s="250"/>
      <c r="L203" s="346"/>
      <c r="M203" s="347"/>
      <c r="N203"/>
      <c r="O203" s="557"/>
      <c r="P203" s="45" t="s">
        <v>9</v>
      </c>
      <c r="Q203" s="432"/>
      <c r="R203" s="433"/>
      <c r="S203" s="433"/>
      <c r="T203" s="433"/>
      <c r="U203" s="434"/>
      <c r="V203" s="414"/>
      <c r="W203" s="415"/>
      <c r="X203" s="896"/>
      <c r="Y203" s="249"/>
      <c r="Z203" s="250"/>
    </row>
    <row r="204" spans="2:26" ht="13" customHeight="1" x14ac:dyDescent="0.35">
      <c r="B204" s="609">
        <v>84</v>
      </c>
      <c r="C204" s="11" t="s">
        <v>9</v>
      </c>
      <c r="D204" s="492"/>
      <c r="E204" s="210"/>
      <c r="F204" s="210"/>
      <c r="G204" s="210"/>
      <c r="H204" s="211"/>
      <c r="I204" s="206"/>
      <c r="J204" s="207"/>
      <c r="K204" s="208"/>
      <c r="L204" s="246"/>
      <c r="M204" s="247"/>
      <c r="N204"/>
      <c r="O204" s="555">
        <v>83</v>
      </c>
      <c r="P204" s="129" t="s">
        <v>9</v>
      </c>
      <c r="Q204" s="492"/>
      <c r="R204" s="210"/>
      <c r="S204" s="210"/>
      <c r="T204" s="210"/>
      <c r="U204" s="211"/>
      <c r="V204" s="265"/>
      <c r="W204" s="266"/>
      <c r="X204" s="267"/>
      <c r="Y204" s="438"/>
      <c r="Z204" s="247"/>
    </row>
    <row r="205" spans="2:26" ht="13" customHeight="1" x14ac:dyDescent="0.35">
      <c r="B205" s="559"/>
      <c r="C205" s="13" t="s">
        <v>9</v>
      </c>
      <c r="D205" s="722"/>
      <c r="E205" s="723"/>
      <c r="F205" s="723"/>
      <c r="G205" s="723"/>
      <c r="H205" s="724"/>
      <c r="I205" s="285"/>
      <c r="J205" s="286"/>
      <c r="K205" s="287"/>
      <c r="L205" s="283"/>
      <c r="M205" s="284"/>
      <c r="N205"/>
      <c r="O205" s="556"/>
      <c r="P205" s="13" t="s">
        <v>9</v>
      </c>
      <c r="Q205" s="228"/>
      <c r="R205" s="229"/>
      <c r="S205" s="229"/>
      <c r="T205" s="229"/>
      <c r="U205" s="230"/>
      <c r="V205" s="256"/>
      <c r="W205" s="257"/>
      <c r="X205" s="258"/>
      <c r="Y205" s="286"/>
      <c r="Z205" s="287"/>
    </row>
    <row r="206" spans="2:26" ht="13" customHeight="1" x14ac:dyDescent="0.35">
      <c r="B206" s="559"/>
      <c r="C206" s="13" t="s">
        <v>9</v>
      </c>
      <c r="D206" s="817"/>
      <c r="E206" s="818"/>
      <c r="F206" s="818"/>
      <c r="G206" s="818"/>
      <c r="H206" s="819"/>
      <c r="I206" s="285"/>
      <c r="J206" s="286"/>
      <c r="K206" s="287"/>
      <c r="L206" s="283"/>
      <c r="M206" s="284"/>
      <c r="N206"/>
      <c r="O206" s="556"/>
      <c r="P206" s="13" t="s">
        <v>9</v>
      </c>
      <c r="Q206" s="228"/>
      <c r="R206" s="229"/>
      <c r="S206" s="229"/>
      <c r="T206" s="229"/>
      <c r="U206" s="230"/>
      <c r="V206" s="256"/>
      <c r="W206" s="257"/>
      <c r="X206" s="258"/>
      <c r="Y206" s="286"/>
      <c r="Z206" s="287"/>
    </row>
    <row r="207" spans="2:26" ht="13" customHeight="1" x14ac:dyDescent="0.35">
      <c r="B207" s="560"/>
      <c r="C207" s="14" t="s">
        <v>9</v>
      </c>
      <c r="D207" s="316"/>
      <c r="E207" s="317"/>
      <c r="F207" s="317"/>
      <c r="G207" s="317"/>
      <c r="H207" s="318"/>
      <c r="I207" s="488"/>
      <c r="J207" s="517"/>
      <c r="K207" s="489"/>
      <c r="L207" s="259"/>
      <c r="M207" s="260"/>
      <c r="N207"/>
      <c r="O207" s="557"/>
      <c r="P207" s="130" t="s">
        <v>9</v>
      </c>
      <c r="Q207" s="215"/>
      <c r="R207" s="216"/>
      <c r="S207" s="216"/>
      <c r="T207" s="216"/>
      <c r="U207" s="217"/>
      <c r="V207" s="380"/>
      <c r="W207" s="309"/>
      <c r="X207" s="310"/>
      <c r="Y207" s="298"/>
      <c r="Z207" s="299"/>
    </row>
    <row r="208" spans="2:26" ht="13" customHeight="1" x14ac:dyDescent="0.35">
      <c r="B208" s="569">
        <v>86</v>
      </c>
      <c r="C208" s="43" t="s">
        <v>9</v>
      </c>
      <c r="D208" s="729"/>
      <c r="E208" s="730"/>
      <c r="F208" s="730"/>
      <c r="G208" s="730"/>
      <c r="H208" s="731"/>
      <c r="I208" s="262"/>
      <c r="J208" s="263"/>
      <c r="K208" s="264"/>
      <c r="L208" s="341"/>
      <c r="M208" s="340"/>
      <c r="N208"/>
      <c r="O208" s="555">
        <v>85</v>
      </c>
      <c r="P208" s="43" t="s">
        <v>9</v>
      </c>
      <c r="Q208" s="897"/>
      <c r="R208" s="898"/>
      <c r="S208" s="898"/>
      <c r="T208" s="898"/>
      <c r="U208" s="899"/>
      <c r="V208" s="411"/>
      <c r="W208" s="412"/>
      <c r="X208" s="413"/>
      <c r="Y208" s="339"/>
      <c r="Z208" s="340"/>
    </row>
    <row r="209" spans="2:26" ht="13" customHeight="1" x14ac:dyDescent="0.35">
      <c r="B209" s="570"/>
      <c r="C209" s="47" t="s">
        <v>9</v>
      </c>
      <c r="D209" s="372"/>
      <c r="E209" s="373"/>
      <c r="F209" s="373"/>
      <c r="G209" s="373"/>
      <c r="H209" s="373"/>
      <c r="I209" s="394"/>
      <c r="J209" s="370"/>
      <c r="K209" s="395"/>
      <c r="L209" s="711"/>
      <c r="M209" s="712"/>
      <c r="N209"/>
      <c r="O209" s="556"/>
      <c r="P209" s="44" t="s">
        <v>9</v>
      </c>
      <c r="Q209" s="420"/>
      <c r="R209" s="421"/>
      <c r="S209" s="421"/>
      <c r="T209" s="421"/>
      <c r="U209" s="422"/>
      <c r="V209" s="414"/>
      <c r="W209" s="415"/>
      <c r="X209" s="416"/>
      <c r="Y209" s="232"/>
      <c r="Z209" s="233"/>
    </row>
    <row r="210" spans="2:26" ht="13" customHeight="1" x14ac:dyDescent="0.35">
      <c r="B210" s="570"/>
      <c r="C210" s="44" t="s">
        <v>9</v>
      </c>
      <c r="D210" s="224"/>
      <c r="E210" s="222"/>
      <c r="F210" s="222"/>
      <c r="G210" s="222"/>
      <c r="H210" s="222"/>
      <c r="I210" s="231"/>
      <c r="J210" s="232"/>
      <c r="K210" s="233"/>
      <c r="L210" s="226"/>
      <c r="M210" s="227"/>
      <c r="N210"/>
      <c r="O210" s="556"/>
      <c r="P210" s="44" t="s">
        <v>9</v>
      </c>
      <c r="Q210" s="558"/>
      <c r="R210" s="222"/>
      <c r="S210" s="222"/>
      <c r="T210" s="222"/>
      <c r="U210" s="225"/>
      <c r="V210" s="414"/>
      <c r="W210" s="415"/>
      <c r="X210" s="416"/>
      <c r="Y210" s="261"/>
      <c r="Z210" s="227"/>
    </row>
    <row r="211" spans="2:26" ht="13" customHeight="1" x14ac:dyDescent="0.35">
      <c r="B211" s="571"/>
      <c r="C211" s="45" t="s">
        <v>9</v>
      </c>
      <c r="D211" s="351"/>
      <c r="E211" s="352"/>
      <c r="F211" s="352"/>
      <c r="G211" s="352"/>
      <c r="H211" s="353"/>
      <c r="I211" s="248"/>
      <c r="J211" s="249"/>
      <c r="K211" s="577"/>
      <c r="L211" s="381"/>
      <c r="M211" s="233"/>
      <c r="N211"/>
      <c r="O211" s="557"/>
      <c r="P211" s="46" t="s">
        <v>9</v>
      </c>
      <c r="Q211" s="432"/>
      <c r="R211" s="433"/>
      <c r="S211" s="433"/>
      <c r="T211" s="433"/>
      <c r="U211" s="434"/>
      <c r="V211" s="417"/>
      <c r="W211" s="418"/>
      <c r="X211" s="419"/>
      <c r="Y211" s="490"/>
      <c r="Z211" s="347"/>
    </row>
    <row r="212" spans="2:26" ht="13" customHeight="1" x14ac:dyDescent="0.35">
      <c r="B212" s="713">
        <v>88</v>
      </c>
      <c r="C212" s="74" t="s">
        <v>9</v>
      </c>
      <c r="D212" s="716"/>
      <c r="E212" s="717"/>
      <c r="F212" s="717"/>
      <c r="G212" s="717"/>
      <c r="H212" s="718"/>
      <c r="I212" s="292"/>
      <c r="J212" s="293"/>
      <c r="K212" s="294"/>
      <c r="L212" s="246"/>
      <c r="M212" s="247"/>
      <c r="N212"/>
      <c r="O212" s="555">
        <v>87</v>
      </c>
      <c r="P212" s="11" t="s">
        <v>9</v>
      </c>
      <c r="Q212" s="492"/>
      <c r="R212" s="210"/>
      <c r="S212" s="210"/>
      <c r="T212" s="210"/>
      <c r="U212" s="211"/>
      <c r="V212" s="265"/>
      <c r="W212" s="266"/>
      <c r="X212" s="267"/>
      <c r="Y212" s="339"/>
      <c r="Z212" s="340"/>
    </row>
    <row r="213" spans="2:26" ht="13" customHeight="1" x14ac:dyDescent="0.35">
      <c r="B213" s="714"/>
      <c r="C213" s="13" t="s">
        <v>9</v>
      </c>
      <c r="D213" s="303"/>
      <c r="E213" s="304"/>
      <c r="F213" s="304"/>
      <c r="G213" s="304"/>
      <c r="H213" s="305"/>
      <c r="I213" s="285"/>
      <c r="J213" s="286"/>
      <c r="K213" s="287"/>
      <c r="L213" s="285"/>
      <c r="M213" s="287"/>
      <c r="N213"/>
      <c r="O213" s="556"/>
      <c r="P213" s="12" t="s">
        <v>9</v>
      </c>
      <c r="Q213" s="228"/>
      <c r="R213" s="229"/>
      <c r="S213" s="229"/>
      <c r="T213" s="229"/>
      <c r="U213" s="230"/>
      <c r="V213" s="256"/>
      <c r="W213" s="257"/>
      <c r="X213" s="258"/>
      <c r="Y213" s="231"/>
      <c r="Z213" s="233"/>
    </row>
    <row r="214" spans="2:26" ht="13" customHeight="1" x14ac:dyDescent="0.35">
      <c r="B214" s="714"/>
      <c r="C214" s="13" t="s">
        <v>9</v>
      </c>
      <c r="D214" s="303"/>
      <c r="E214" s="304"/>
      <c r="F214" s="304"/>
      <c r="G214" s="304"/>
      <c r="H214" s="305"/>
      <c r="I214" s="285"/>
      <c r="J214" s="286"/>
      <c r="K214" s="287"/>
      <c r="L214" s="283"/>
      <c r="M214" s="284"/>
      <c r="N214"/>
      <c r="O214" s="556"/>
      <c r="P214" s="13" t="s">
        <v>9</v>
      </c>
      <c r="Q214" s="228"/>
      <c r="R214" s="229"/>
      <c r="S214" s="229"/>
      <c r="T214" s="229"/>
      <c r="U214" s="230"/>
      <c r="V214" s="256"/>
      <c r="W214" s="257"/>
      <c r="X214" s="258"/>
      <c r="Y214" s="232"/>
      <c r="Z214" s="233"/>
    </row>
    <row r="215" spans="2:26" ht="13" customHeight="1" x14ac:dyDescent="0.35">
      <c r="B215" s="715"/>
      <c r="C215" s="12" t="s">
        <v>9</v>
      </c>
      <c r="D215" s="212"/>
      <c r="E215" s="213"/>
      <c r="F215" s="213"/>
      <c r="G215" s="213"/>
      <c r="H215" s="214"/>
      <c r="I215" s="292"/>
      <c r="J215" s="293"/>
      <c r="K215" s="294"/>
      <c r="L215" s="290"/>
      <c r="M215" s="291"/>
      <c r="N215"/>
      <c r="O215" s="557"/>
      <c r="P215" s="14" t="s">
        <v>9</v>
      </c>
      <c r="Q215" s="364"/>
      <c r="R215" s="365"/>
      <c r="S215" s="365"/>
      <c r="T215" s="365"/>
      <c r="U215" s="366"/>
      <c r="V215" s="380"/>
      <c r="W215" s="309"/>
      <c r="X215" s="310"/>
      <c r="Y215" s="249"/>
      <c r="Z215" s="250"/>
    </row>
    <row r="216" spans="2:26" ht="13" customHeight="1" x14ac:dyDescent="0.35">
      <c r="B216" s="555">
        <v>90</v>
      </c>
      <c r="C216" s="43" t="s">
        <v>9</v>
      </c>
      <c r="D216" s="458" t="s">
        <v>557</v>
      </c>
      <c r="E216" s="459"/>
      <c r="F216" s="459"/>
      <c r="G216" s="459"/>
      <c r="H216" s="459"/>
      <c r="I216" s="262"/>
      <c r="J216" s="263"/>
      <c r="K216" s="263"/>
      <c r="L216" s="341"/>
      <c r="M216" s="340"/>
      <c r="N216"/>
      <c r="O216" s="569">
        <v>89</v>
      </c>
      <c r="P216" s="43">
        <v>19816</v>
      </c>
      <c r="Q216" s="426" t="s">
        <v>242</v>
      </c>
      <c r="R216" s="427"/>
      <c r="S216" s="427"/>
      <c r="T216" s="427"/>
      <c r="U216" s="428"/>
      <c r="V216" s="411" t="s">
        <v>31</v>
      </c>
      <c r="W216" s="412"/>
      <c r="X216" s="413"/>
      <c r="Y216" s="339" t="s">
        <v>12</v>
      </c>
      <c r="Z216" s="340"/>
    </row>
    <row r="217" spans="2:26" ht="13" customHeight="1" x14ac:dyDescent="0.35">
      <c r="B217" s="556"/>
      <c r="C217" s="44" t="s">
        <v>9</v>
      </c>
      <c r="D217" s="224" t="s">
        <v>557</v>
      </c>
      <c r="E217" s="222"/>
      <c r="F217" s="222"/>
      <c r="G217" s="222"/>
      <c r="H217" s="225"/>
      <c r="I217" s="231"/>
      <c r="J217" s="232"/>
      <c r="K217" s="232"/>
      <c r="L217" s="251"/>
      <c r="M217" s="252"/>
      <c r="N217"/>
      <c r="O217" s="570"/>
      <c r="P217" s="44" t="s">
        <v>9</v>
      </c>
      <c r="Q217" s="420"/>
      <c r="R217" s="421"/>
      <c r="S217" s="421"/>
      <c r="T217" s="421"/>
      <c r="U217" s="422"/>
      <c r="V217" s="414"/>
      <c r="W217" s="415"/>
      <c r="X217" s="416"/>
      <c r="Y217" s="231"/>
      <c r="Z217" s="233"/>
    </row>
    <row r="218" spans="2:26" ht="13" customHeight="1" x14ac:dyDescent="0.35">
      <c r="B218" s="556"/>
      <c r="C218" s="44" t="s">
        <v>9</v>
      </c>
      <c r="D218" s="224" t="s">
        <v>557</v>
      </c>
      <c r="E218" s="222"/>
      <c r="F218" s="222"/>
      <c r="G218" s="222"/>
      <c r="H218" s="225"/>
      <c r="I218" s="231"/>
      <c r="J218" s="232"/>
      <c r="K218" s="232"/>
      <c r="L218" s="251"/>
      <c r="M218" s="252"/>
      <c r="N218"/>
      <c r="O218" s="570"/>
      <c r="P218" s="44" t="s">
        <v>9</v>
      </c>
      <c r="Q218" s="420"/>
      <c r="R218" s="421"/>
      <c r="S218" s="421"/>
      <c r="T218" s="421"/>
      <c r="U218" s="422"/>
      <c r="V218" s="734"/>
      <c r="W218" s="735"/>
      <c r="X218" s="736"/>
      <c r="Y218" s="231"/>
      <c r="Z218" s="233"/>
    </row>
    <row r="219" spans="2:26" ht="13" customHeight="1" x14ac:dyDescent="0.35">
      <c r="B219" s="556"/>
      <c r="C219" s="44" t="s">
        <v>9</v>
      </c>
      <c r="D219" s="224" t="s">
        <v>557</v>
      </c>
      <c r="E219" s="222"/>
      <c r="F219" s="222"/>
      <c r="G219" s="222"/>
      <c r="H219" s="222"/>
      <c r="I219" s="231"/>
      <c r="J219" s="232"/>
      <c r="K219" s="232"/>
      <c r="L219" s="346"/>
      <c r="M219" s="347"/>
      <c r="N219"/>
      <c r="O219" s="570"/>
      <c r="P219" s="44" t="s">
        <v>9</v>
      </c>
      <c r="Q219" s="420"/>
      <c r="R219" s="421"/>
      <c r="S219" s="421"/>
      <c r="T219" s="421"/>
      <c r="U219" s="422"/>
      <c r="V219" s="414"/>
      <c r="W219" s="415"/>
      <c r="X219" s="416"/>
      <c r="Y219" s="232"/>
      <c r="Z219" s="233"/>
    </row>
    <row r="220" spans="2:26" ht="13" customHeight="1" x14ac:dyDescent="0.35">
      <c r="B220" s="555">
        <v>92</v>
      </c>
      <c r="C220" s="11" t="s">
        <v>9</v>
      </c>
      <c r="D220" s="445" t="s">
        <v>555</v>
      </c>
      <c r="E220" s="446"/>
      <c r="F220" s="446"/>
      <c r="G220" s="446"/>
      <c r="H220" s="446"/>
      <c r="I220" s="206"/>
      <c r="J220" s="207"/>
      <c r="K220" s="208"/>
      <c r="L220" s="378"/>
      <c r="M220" s="379"/>
      <c r="N220"/>
      <c r="O220" s="609">
        <v>91</v>
      </c>
      <c r="P220" s="11" t="s">
        <v>9</v>
      </c>
      <c r="Q220" s="492"/>
      <c r="R220" s="210"/>
      <c r="S220" s="210"/>
      <c r="T220" s="210"/>
      <c r="U220" s="211"/>
      <c r="V220" s="265"/>
      <c r="W220" s="266"/>
      <c r="X220" s="267"/>
      <c r="Y220" s="438"/>
      <c r="Z220" s="247"/>
    </row>
    <row r="221" spans="2:26" ht="13" customHeight="1" x14ac:dyDescent="0.35">
      <c r="B221" s="556"/>
      <c r="C221" s="13" t="s">
        <v>9</v>
      </c>
      <c r="D221" s="303" t="s">
        <v>555</v>
      </c>
      <c r="E221" s="304"/>
      <c r="F221" s="304"/>
      <c r="G221" s="304"/>
      <c r="H221" s="304"/>
      <c r="I221" s="285"/>
      <c r="J221" s="286"/>
      <c r="K221" s="287"/>
      <c r="L221" s="344"/>
      <c r="M221" s="345"/>
      <c r="N221"/>
      <c r="O221" s="559"/>
      <c r="P221" s="13" t="s">
        <v>9</v>
      </c>
      <c r="Q221" s="228"/>
      <c r="R221" s="229"/>
      <c r="S221" s="229"/>
      <c r="T221" s="229"/>
      <c r="U221" s="230"/>
      <c r="V221" s="256"/>
      <c r="W221" s="257"/>
      <c r="X221" s="258"/>
      <c r="Y221" s="232"/>
      <c r="Z221" s="233"/>
    </row>
    <row r="222" spans="2:26" ht="13" customHeight="1" x14ac:dyDescent="0.35">
      <c r="B222" s="556"/>
      <c r="C222" s="13" t="s">
        <v>9</v>
      </c>
      <c r="D222" s="303" t="s">
        <v>555</v>
      </c>
      <c r="E222" s="304"/>
      <c r="F222" s="304"/>
      <c r="G222" s="304"/>
      <c r="H222" s="304"/>
      <c r="I222" s="285"/>
      <c r="J222" s="286"/>
      <c r="K222" s="287"/>
      <c r="L222" s="344"/>
      <c r="M222" s="345"/>
      <c r="N222"/>
      <c r="O222" s="559"/>
      <c r="P222" s="13" t="s">
        <v>9</v>
      </c>
      <c r="Q222" s="228"/>
      <c r="R222" s="229"/>
      <c r="S222" s="229"/>
      <c r="T222" s="229"/>
      <c r="U222" s="230"/>
      <c r="V222" s="256"/>
      <c r="W222" s="257"/>
      <c r="X222" s="258"/>
      <c r="Y222" s="232"/>
      <c r="Z222" s="233"/>
    </row>
    <row r="223" spans="2:26" ht="13" customHeight="1" x14ac:dyDescent="0.35">
      <c r="B223" s="557"/>
      <c r="C223" s="14" t="s">
        <v>9</v>
      </c>
      <c r="D223" s="316" t="s">
        <v>555</v>
      </c>
      <c r="E223" s="317"/>
      <c r="F223" s="317"/>
      <c r="G223" s="317"/>
      <c r="H223" s="317"/>
      <c r="I223" s="297"/>
      <c r="J223" s="298"/>
      <c r="K223" s="299"/>
      <c r="L223" s="737"/>
      <c r="M223" s="738"/>
      <c r="N223"/>
      <c r="O223" s="560"/>
      <c r="P223" s="14">
        <v>19610</v>
      </c>
      <c r="Q223" s="215" t="s">
        <v>246</v>
      </c>
      <c r="R223" s="216"/>
      <c r="S223" s="216"/>
      <c r="T223" s="216"/>
      <c r="U223" s="217"/>
      <c r="V223" s="380" t="s">
        <v>27</v>
      </c>
      <c r="W223" s="309"/>
      <c r="X223" s="310"/>
      <c r="Y223" s="249" t="s">
        <v>12</v>
      </c>
      <c r="Z223" s="250"/>
    </row>
    <row r="224" spans="2:26" ht="13" customHeight="1" x14ac:dyDescent="0.35">
      <c r="B224" s="555">
        <v>94</v>
      </c>
      <c r="C224" s="43" t="s">
        <v>9</v>
      </c>
      <c r="D224" s="631"/>
      <c r="E224" s="632"/>
      <c r="F224" s="632"/>
      <c r="G224" s="632"/>
      <c r="H224" s="632"/>
      <c r="I224" s="732"/>
      <c r="J224" s="550"/>
      <c r="K224" s="551"/>
      <c r="L224" s="550"/>
      <c r="M224" s="551"/>
      <c r="N224"/>
      <c r="O224" s="555">
        <v>93</v>
      </c>
      <c r="P224" s="43" t="s">
        <v>9</v>
      </c>
      <c r="Q224" s="426"/>
      <c r="R224" s="427"/>
      <c r="S224" s="427"/>
      <c r="T224" s="427"/>
      <c r="U224" s="428"/>
      <c r="V224" s="411"/>
      <c r="W224" s="412"/>
      <c r="X224" s="413"/>
      <c r="Y224" s="339"/>
      <c r="Z224" s="340"/>
    </row>
    <row r="225" spans="2:26" ht="13" customHeight="1" x14ac:dyDescent="0.35">
      <c r="B225" s="556"/>
      <c r="C225" s="44" t="s">
        <v>9</v>
      </c>
      <c r="D225" s="629"/>
      <c r="E225" s="630"/>
      <c r="F225" s="630"/>
      <c r="G225" s="630"/>
      <c r="H225" s="630"/>
      <c r="I225" s="728"/>
      <c r="J225" s="548"/>
      <c r="K225" s="549"/>
      <c r="L225" s="548"/>
      <c r="M225" s="549"/>
      <c r="N225"/>
      <c r="O225" s="556"/>
      <c r="P225" s="44" t="s">
        <v>9</v>
      </c>
      <c r="Q225" s="420"/>
      <c r="R225" s="421"/>
      <c r="S225" s="421"/>
      <c r="T225" s="421"/>
      <c r="U225" s="422"/>
      <c r="V225" s="414"/>
      <c r="W225" s="415"/>
      <c r="X225" s="416"/>
      <c r="Y225" s="261"/>
      <c r="Z225" s="227"/>
    </row>
    <row r="226" spans="2:26" ht="13" customHeight="1" x14ac:dyDescent="0.35">
      <c r="B226" s="556"/>
      <c r="C226" s="44" t="s">
        <v>9</v>
      </c>
      <c r="D226" s="629"/>
      <c r="E226" s="630"/>
      <c r="F226" s="630"/>
      <c r="G226" s="630"/>
      <c r="H226" s="733"/>
      <c r="I226" s="548"/>
      <c r="J226" s="548"/>
      <c r="K226" s="549"/>
      <c r="L226" s="548"/>
      <c r="M226" s="549"/>
      <c r="N226"/>
      <c r="O226" s="556"/>
      <c r="P226" s="44" t="s">
        <v>9</v>
      </c>
      <c r="Q226" s="420"/>
      <c r="R226" s="421"/>
      <c r="S226" s="421"/>
      <c r="T226" s="421"/>
      <c r="U226" s="422"/>
      <c r="V226" s="414"/>
      <c r="W226" s="415"/>
      <c r="X226" s="416"/>
      <c r="Y226" s="261"/>
      <c r="Z226" s="227"/>
    </row>
    <row r="227" spans="2:26" ht="13" customHeight="1" x14ac:dyDescent="0.35">
      <c r="B227" s="556"/>
      <c r="C227" s="44" t="s">
        <v>9</v>
      </c>
      <c r="D227" s="719"/>
      <c r="E227" s="720"/>
      <c r="F227" s="720"/>
      <c r="G227" s="720"/>
      <c r="H227" s="721"/>
      <c r="I227" s="548"/>
      <c r="J227" s="548"/>
      <c r="K227" s="549"/>
      <c r="L227" s="548"/>
      <c r="M227" s="549"/>
      <c r="N227"/>
      <c r="O227" s="556"/>
      <c r="P227" s="44" t="s">
        <v>9</v>
      </c>
      <c r="Q227" s="432"/>
      <c r="R227" s="433"/>
      <c r="S227" s="433"/>
      <c r="T227" s="433"/>
      <c r="U227" s="434"/>
      <c r="V227" s="417"/>
      <c r="W227" s="418"/>
      <c r="X227" s="419"/>
      <c r="Y227" s="490"/>
      <c r="Z227" s="347"/>
    </row>
    <row r="228" spans="2:26" ht="13" customHeight="1" x14ac:dyDescent="0.35">
      <c r="B228" s="555">
        <v>96</v>
      </c>
      <c r="C228" s="11" t="s">
        <v>9</v>
      </c>
      <c r="D228" s="445" t="s">
        <v>556</v>
      </c>
      <c r="E228" s="446"/>
      <c r="F228" s="446"/>
      <c r="G228" s="446"/>
      <c r="H228" s="446"/>
      <c r="I228" s="206"/>
      <c r="J228" s="207"/>
      <c r="K228" s="208"/>
      <c r="L228" s="385"/>
      <c r="M228" s="386"/>
      <c r="N228"/>
      <c r="O228" s="609">
        <v>95</v>
      </c>
      <c r="P228" s="11" t="s">
        <v>9</v>
      </c>
      <c r="Q228" s="212"/>
      <c r="R228" s="213"/>
      <c r="S228" s="213"/>
      <c r="T228" s="213"/>
      <c r="U228" s="214"/>
      <c r="V228" s="292"/>
      <c r="W228" s="293"/>
      <c r="X228" s="294"/>
      <c r="Y228" s="588"/>
      <c r="Z228" s="252"/>
    </row>
    <row r="229" spans="2:26" ht="13" customHeight="1" x14ac:dyDescent="0.35">
      <c r="B229" s="556"/>
      <c r="C229" s="13" t="s">
        <v>9</v>
      </c>
      <c r="D229" s="303" t="s">
        <v>556</v>
      </c>
      <c r="E229" s="304"/>
      <c r="F229" s="304"/>
      <c r="G229" s="304"/>
      <c r="H229" s="304"/>
      <c r="I229" s="285"/>
      <c r="J229" s="286"/>
      <c r="K229" s="287"/>
      <c r="L229" s="344"/>
      <c r="M229" s="345"/>
      <c r="N229"/>
      <c r="O229" s="559"/>
      <c r="P229" s="13" t="s">
        <v>9</v>
      </c>
      <c r="Q229" s="228"/>
      <c r="R229" s="229"/>
      <c r="S229" s="229"/>
      <c r="T229" s="229"/>
      <c r="U229" s="230"/>
      <c r="V229" s="256"/>
      <c r="W229" s="257"/>
      <c r="X229" s="258"/>
      <c r="Y229" s="232"/>
      <c r="Z229" s="233"/>
    </row>
    <row r="230" spans="2:26" ht="13" customHeight="1" x14ac:dyDescent="0.35">
      <c r="B230" s="556"/>
      <c r="C230" s="13" t="s">
        <v>9</v>
      </c>
      <c r="D230" s="303" t="s">
        <v>556</v>
      </c>
      <c r="E230" s="304"/>
      <c r="F230" s="304"/>
      <c r="G230" s="304"/>
      <c r="H230" s="304"/>
      <c r="I230" s="285"/>
      <c r="J230" s="286"/>
      <c r="K230" s="287"/>
      <c r="L230" s="344"/>
      <c r="M230" s="345"/>
      <c r="N230"/>
      <c r="O230" s="559"/>
      <c r="P230" s="130" t="s">
        <v>9</v>
      </c>
      <c r="Q230" s="228"/>
      <c r="R230" s="229"/>
      <c r="S230" s="229"/>
      <c r="T230" s="229"/>
      <c r="U230" s="230"/>
      <c r="V230" s="256"/>
      <c r="W230" s="257"/>
      <c r="X230" s="258"/>
      <c r="Y230" s="232"/>
      <c r="Z230" s="233"/>
    </row>
    <row r="231" spans="2:26" ht="13" customHeight="1" x14ac:dyDescent="0.35">
      <c r="B231" s="557"/>
      <c r="C231" s="14" t="s">
        <v>9</v>
      </c>
      <c r="D231" s="316" t="s">
        <v>556</v>
      </c>
      <c r="E231" s="317"/>
      <c r="F231" s="317"/>
      <c r="G231" s="317"/>
      <c r="H231" s="317"/>
      <c r="I231" s="297"/>
      <c r="J231" s="298"/>
      <c r="K231" s="299"/>
      <c r="L231" s="737"/>
      <c r="M231" s="738"/>
      <c r="N231"/>
      <c r="O231" s="560"/>
      <c r="P231" s="14" t="s">
        <v>9</v>
      </c>
      <c r="Q231" s="215"/>
      <c r="R231" s="216"/>
      <c r="S231" s="216"/>
      <c r="T231" s="216"/>
      <c r="U231" s="217"/>
      <c r="V231" s="380"/>
      <c r="W231" s="309"/>
      <c r="X231" s="310"/>
      <c r="Y231" s="249"/>
      <c r="Z231" s="250"/>
    </row>
    <row r="232" spans="2:26" ht="15.65" customHeight="1" x14ac:dyDescent="0.35">
      <c r="C232"/>
      <c r="D232"/>
      <c r="E232"/>
      <c r="F232"/>
      <c r="G232"/>
      <c r="H232"/>
      <c r="I232"/>
      <c r="J232"/>
      <c r="K232"/>
      <c r="L232"/>
      <c r="M232"/>
      <c r="N232"/>
    </row>
    <row r="233" spans="2:26" x14ac:dyDescent="0.35">
      <c r="C233"/>
      <c r="D233"/>
      <c r="E233"/>
      <c r="F233"/>
      <c r="G233"/>
      <c r="H233"/>
      <c r="I233"/>
      <c r="J233"/>
      <c r="K233"/>
      <c r="L233"/>
      <c r="M233"/>
      <c r="N233"/>
      <c r="V233"/>
      <c r="W233"/>
      <c r="X233"/>
    </row>
    <row r="234" spans="2:26" x14ac:dyDescent="0.35">
      <c r="C234"/>
      <c r="D234"/>
      <c r="E234"/>
      <c r="F234"/>
      <c r="G234"/>
      <c r="H234"/>
      <c r="I234"/>
      <c r="J234"/>
      <c r="K234"/>
      <c r="L234"/>
      <c r="M234"/>
      <c r="N234"/>
    </row>
    <row r="235" spans="2:26" ht="14.5" customHeight="1" x14ac:dyDescent="0.35">
      <c r="C235" s="322" t="s">
        <v>258</v>
      </c>
      <c r="D235" s="323"/>
      <c r="E235" s="323"/>
      <c r="F235" s="323"/>
      <c r="G235" s="323"/>
      <c r="H235" s="323"/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4"/>
    </row>
    <row r="236" spans="2:26" ht="14.5" customHeight="1" x14ac:dyDescent="0.35">
      <c r="C236" s="325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7"/>
    </row>
    <row r="237" spans="2:26" ht="15" customHeight="1" thickBot="1" x14ac:dyDescent="0.4">
      <c r="C237" s="328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30"/>
    </row>
    <row r="240" spans="2:26" ht="10" customHeight="1" x14ac:dyDescent="0.35">
      <c r="B240" s="454"/>
      <c r="C240" s="454"/>
      <c r="D240" s="454"/>
      <c r="E240" s="455" t="s">
        <v>259</v>
      </c>
      <c r="F240" s="274"/>
      <c r="G240" s="274"/>
      <c r="H240" s="274"/>
      <c r="I240" s="274"/>
      <c r="J240" s="274"/>
      <c r="K240" s="274"/>
      <c r="L240" s="274"/>
      <c r="M240" s="275"/>
      <c r="N240"/>
      <c r="O240" s="237"/>
      <c r="P240" s="238"/>
      <c r="Q240" s="239"/>
      <c r="R240" s="455" t="s">
        <v>260</v>
      </c>
      <c r="S240" s="274"/>
      <c r="T240" s="274"/>
      <c r="U240" s="274"/>
      <c r="V240" s="274"/>
      <c r="W240" s="274"/>
      <c r="X240" s="274"/>
      <c r="Y240" s="274"/>
      <c r="Z240" s="275"/>
    </row>
    <row r="241" spans="2:27" ht="10" customHeight="1" x14ac:dyDescent="0.35">
      <c r="B241" s="454"/>
      <c r="C241" s="454"/>
      <c r="D241" s="454"/>
      <c r="E241" s="457"/>
      <c r="F241" s="278"/>
      <c r="G241" s="278"/>
      <c r="H241" s="278"/>
      <c r="I241" s="278"/>
      <c r="J241" s="278"/>
      <c r="K241" s="278"/>
      <c r="L241" s="278"/>
      <c r="M241" s="279"/>
      <c r="N241"/>
      <c r="O241" s="243"/>
      <c r="P241" s="244"/>
      <c r="Q241" s="245"/>
      <c r="R241" s="457"/>
      <c r="S241" s="278"/>
      <c r="T241" s="278"/>
      <c r="U241" s="278"/>
      <c r="V241" s="278"/>
      <c r="W241" s="278"/>
      <c r="X241" s="278"/>
      <c r="Y241" s="278"/>
      <c r="Z241" s="279"/>
    </row>
    <row r="242" spans="2:27" ht="15.5" x14ac:dyDescent="0.35">
      <c r="B242" s="147" t="s">
        <v>4</v>
      </c>
      <c r="C242" s="147" t="s">
        <v>5</v>
      </c>
      <c r="D242" s="280" t="s">
        <v>108</v>
      </c>
      <c r="E242" s="281"/>
      <c r="F242" s="281"/>
      <c r="G242" s="281"/>
      <c r="H242" s="282"/>
      <c r="I242" s="280" t="s">
        <v>7</v>
      </c>
      <c r="J242" s="281"/>
      <c r="K242" s="282"/>
      <c r="L242" s="280" t="s">
        <v>8</v>
      </c>
      <c r="M242" s="282"/>
      <c r="N242" s="139"/>
      <c r="O242" s="147" t="s">
        <v>4</v>
      </c>
      <c r="P242" s="147" t="s">
        <v>5</v>
      </c>
      <c r="Q242" s="280" t="s">
        <v>108</v>
      </c>
      <c r="R242" s="281"/>
      <c r="S242" s="281"/>
      <c r="T242" s="281"/>
      <c r="U242" s="282"/>
      <c r="V242" s="280" t="s">
        <v>7</v>
      </c>
      <c r="W242" s="281"/>
      <c r="X242" s="282"/>
      <c r="Y242" s="280" t="s">
        <v>8</v>
      </c>
      <c r="Z242" s="282"/>
    </row>
    <row r="243" spans="2:27" ht="14" customHeight="1" x14ac:dyDescent="0.35">
      <c r="B243" s="559">
        <v>97</v>
      </c>
      <c r="C243" s="11">
        <v>19814</v>
      </c>
      <c r="D243" s="833" t="s">
        <v>380</v>
      </c>
      <c r="E243" s="834"/>
      <c r="F243" s="834"/>
      <c r="G243" s="834"/>
      <c r="H243" s="835"/>
      <c r="I243" s="821" t="s">
        <v>25</v>
      </c>
      <c r="J243" s="822"/>
      <c r="K243" s="823"/>
      <c r="L243" s="438" t="s">
        <v>12</v>
      </c>
      <c r="M243" s="247"/>
      <c r="N243"/>
      <c r="O243" s="559">
        <v>98</v>
      </c>
      <c r="P243" s="12" t="s">
        <v>9</v>
      </c>
      <c r="Q243" s="445"/>
      <c r="R243" s="446"/>
      <c r="S243" s="446"/>
      <c r="T243" s="446"/>
      <c r="U243" s="447"/>
      <c r="V243" s="206"/>
      <c r="W243" s="207"/>
      <c r="X243" s="208"/>
      <c r="Y243" s="246"/>
      <c r="Z243" s="247"/>
    </row>
    <row r="244" spans="2:27" ht="14" customHeight="1" x14ac:dyDescent="0.35">
      <c r="B244" s="559"/>
      <c r="C244" s="13">
        <v>19868</v>
      </c>
      <c r="D244" s="435" t="s">
        <v>382</v>
      </c>
      <c r="E244" s="436"/>
      <c r="F244" s="436"/>
      <c r="G244" s="436"/>
      <c r="H244" s="437"/>
      <c r="I244" s="439" t="s">
        <v>25</v>
      </c>
      <c r="J244" s="440"/>
      <c r="K244" s="441"/>
      <c r="L244" s="286" t="s">
        <v>12</v>
      </c>
      <c r="M244" s="287"/>
      <c r="N244"/>
      <c r="O244" s="559"/>
      <c r="P244" s="13" t="s">
        <v>9</v>
      </c>
      <c r="Q244" s="303"/>
      <c r="R244" s="304"/>
      <c r="S244" s="304"/>
      <c r="T244" s="304"/>
      <c r="U244" s="305"/>
      <c r="V244" s="285"/>
      <c r="W244" s="286"/>
      <c r="X244" s="287"/>
      <c r="Y244" s="285"/>
      <c r="Z244" s="287"/>
    </row>
    <row r="245" spans="2:27" ht="14" customHeight="1" x14ac:dyDescent="0.35">
      <c r="B245" s="559"/>
      <c r="C245" s="13">
        <v>19815</v>
      </c>
      <c r="D245" s="228" t="s">
        <v>384</v>
      </c>
      <c r="E245" s="229"/>
      <c r="F245" s="229"/>
      <c r="G245" s="229"/>
      <c r="H245" s="230"/>
      <c r="I245" s="439" t="s">
        <v>25</v>
      </c>
      <c r="J245" s="440"/>
      <c r="K245" s="441"/>
      <c r="L245" s="491" t="s">
        <v>12</v>
      </c>
      <c r="M245" s="284"/>
      <c r="N245"/>
      <c r="O245" s="559"/>
      <c r="P245" s="13">
        <v>19644</v>
      </c>
      <c r="Q245" s="303" t="s">
        <v>263</v>
      </c>
      <c r="R245" s="304"/>
      <c r="S245" s="304"/>
      <c r="T245" s="304"/>
      <c r="U245" s="305"/>
      <c r="V245" s="285" t="s">
        <v>40</v>
      </c>
      <c r="W245" s="286"/>
      <c r="X245" s="287"/>
      <c r="Y245" s="231" t="s">
        <v>12</v>
      </c>
      <c r="Z245" s="233"/>
    </row>
    <row r="246" spans="2:27" ht="14" customHeight="1" x14ac:dyDescent="0.35">
      <c r="B246" s="560"/>
      <c r="C246" s="14">
        <v>19861</v>
      </c>
      <c r="D246" s="844" t="s">
        <v>385</v>
      </c>
      <c r="E246" s="845"/>
      <c r="F246" s="845"/>
      <c r="G246" s="845"/>
      <c r="H246" s="846"/>
      <c r="I246" s="804" t="s">
        <v>128</v>
      </c>
      <c r="J246" s="805"/>
      <c r="K246" s="806"/>
      <c r="L246" s="561" t="s">
        <v>12</v>
      </c>
      <c r="M246" s="260"/>
      <c r="N246"/>
      <c r="O246" s="560"/>
      <c r="P246" s="14" t="s">
        <v>9</v>
      </c>
      <c r="Q246" s="316"/>
      <c r="R246" s="317"/>
      <c r="S246" s="317"/>
      <c r="T246" s="317"/>
      <c r="U246" s="318"/>
      <c r="V246" s="298"/>
      <c r="W246" s="298"/>
      <c r="X246" s="299"/>
      <c r="Y246" s="297"/>
      <c r="Z246" s="299"/>
    </row>
    <row r="247" spans="2:27" ht="14" customHeight="1" x14ac:dyDescent="0.35">
      <c r="B247" s="569">
        <v>99</v>
      </c>
      <c r="C247" s="44">
        <v>19876</v>
      </c>
      <c r="D247" s="372" t="s">
        <v>264</v>
      </c>
      <c r="E247" s="373"/>
      <c r="F247" s="373"/>
      <c r="G247" s="373"/>
      <c r="H247" s="374"/>
      <c r="I247" s="394" t="s">
        <v>31</v>
      </c>
      <c r="J247" s="370"/>
      <c r="K247" s="395"/>
      <c r="L247" s="339" t="s">
        <v>12</v>
      </c>
      <c r="M247" s="340"/>
      <c r="N247"/>
      <c r="O247" s="569">
        <v>100</v>
      </c>
      <c r="P247" s="47" t="s">
        <v>9</v>
      </c>
      <c r="Q247" s="429"/>
      <c r="R247" s="430"/>
      <c r="S247" s="430"/>
      <c r="T247" s="430"/>
      <c r="U247" s="431"/>
      <c r="V247" s="411"/>
      <c r="W247" s="412"/>
      <c r="X247" s="413"/>
      <c r="Y247" s="341"/>
      <c r="Z247" s="340"/>
    </row>
    <row r="248" spans="2:27" ht="14" customHeight="1" x14ac:dyDescent="0.35">
      <c r="B248" s="570"/>
      <c r="C248" s="155" t="s">
        <v>9</v>
      </c>
      <c r="D248" s="224"/>
      <c r="E248" s="222"/>
      <c r="F248" s="222"/>
      <c r="G248" s="222"/>
      <c r="H248" s="225"/>
      <c r="I248" s="232"/>
      <c r="J248" s="232"/>
      <c r="K248" s="302"/>
      <c r="L248" s="261"/>
      <c r="M248" s="227"/>
      <c r="N248"/>
      <c r="O248" s="570"/>
      <c r="P248" s="44">
        <v>19786</v>
      </c>
      <c r="Q248" s="902" t="s">
        <v>265</v>
      </c>
      <c r="R248" s="903"/>
      <c r="S248" s="903"/>
      <c r="T248" s="903"/>
      <c r="U248" s="904"/>
      <c r="V248" s="268" t="s">
        <v>21</v>
      </c>
      <c r="W248" s="269"/>
      <c r="X248" s="270"/>
      <c r="Y248" s="231" t="s">
        <v>12</v>
      </c>
      <c r="Z248" s="233"/>
      <c r="AA248" s="72"/>
    </row>
    <row r="249" spans="2:27" ht="14" customHeight="1" x14ac:dyDescent="0.35">
      <c r="B249" s="570"/>
      <c r="C249" s="44" t="s">
        <v>9</v>
      </c>
      <c r="D249" s="224"/>
      <c r="E249" s="222"/>
      <c r="F249" s="222"/>
      <c r="G249" s="222"/>
      <c r="H249" s="225"/>
      <c r="I249" s="232"/>
      <c r="J249" s="232"/>
      <c r="K249" s="302"/>
      <c r="L249" s="261"/>
      <c r="M249" s="227"/>
      <c r="N249"/>
      <c r="O249" s="570"/>
      <c r="P249" s="47">
        <v>19982</v>
      </c>
      <c r="Q249" s="224" t="s">
        <v>266</v>
      </c>
      <c r="R249" s="222"/>
      <c r="S249" s="222"/>
      <c r="T249" s="222"/>
      <c r="U249" s="225"/>
      <c r="V249" s="394" t="s">
        <v>25</v>
      </c>
      <c r="W249" s="370"/>
      <c r="X249" s="395"/>
      <c r="Y249" s="288" t="s">
        <v>12</v>
      </c>
      <c r="Z249" s="289"/>
    </row>
    <row r="250" spans="2:27" ht="14" customHeight="1" x14ac:dyDescent="0.35">
      <c r="B250" s="571"/>
      <c r="C250" s="44" t="s">
        <v>9</v>
      </c>
      <c r="D250" s="351"/>
      <c r="E250" s="352"/>
      <c r="F250" s="352"/>
      <c r="G250" s="352"/>
      <c r="H250" s="353"/>
      <c r="I250" s="739"/>
      <c r="J250" s="740"/>
      <c r="K250" s="741"/>
      <c r="L250" s="490"/>
      <c r="M250" s="347"/>
      <c r="N250"/>
      <c r="O250" s="571"/>
      <c r="P250" s="45" t="s">
        <v>9</v>
      </c>
      <c r="Q250" s="679"/>
      <c r="R250" s="680"/>
      <c r="S250" s="680"/>
      <c r="T250" s="680"/>
      <c r="U250" s="681"/>
      <c r="V250" s="417"/>
      <c r="W250" s="418"/>
      <c r="X250" s="419"/>
      <c r="Y250" s="288"/>
      <c r="Z250" s="289"/>
    </row>
    <row r="251" spans="2:27" ht="14" customHeight="1" x14ac:dyDescent="0.35">
      <c r="B251" s="559">
        <v>101</v>
      </c>
      <c r="C251" s="13">
        <v>18316</v>
      </c>
      <c r="D251" s="303" t="s">
        <v>269</v>
      </c>
      <c r="E251" s="304"/>
      <c r="F251" s="304"/>
      <c r="G251" s="304"/>
      <c r="H251" s="305"/>
      <c r="I251" s="285" t="s">
        <v>270</v>
      </c>
      <c r="J251" s="286"/>
      <c r="K251" s="287"/>
      <c r="L251" s="246" t="s">
        <v>12</v>
      </c>
      <c r="M251" s="247"/>
      <c r="N251"/>
      <c r="O251" s="559">
        <v>102</v>
      </c>
      <c r="P251" s="12">
        <v>19425</v>
      </c>
      <c r="Q251" s="212" t="s">
        <v>267</v>
      </c>
      <c r="R251" s="213"/>
      <c r="S251" s="213"/>
      <c r="T251" s="213"/>
      <c r="U251" s="214"/>
      <c r="V251" s="293" t="s">
        <v>268</v>
      </c>
      <c r="W251" s="293"/>
      <c r="X251" s="293"/>
      <c r="Y251" s="246" t="s">
        <v>12</v>
      </c>
      <c r="Z251" s="247"/>
    </row>
    <row r="252" spans="2:27" ht="14" customHeight="1" x14ac:dyDescent="0.35">
      <c r="B252" s="559"/>
      <c r="C252" s="12"/>
      <c r="D252" s="212"/>
      <c r="E252" s="213"/>
      <c r="F252" s="213"/>
      <c r="G252" s="213"/>
      <c r="H252" s="214"/>
      <c r="I252" s="292"/>
      <c r="J252" s="293"/>
      <c r="K252" s="294"/>
      <c r="L252" s="226"/>
      <c r="M252" s="227"/>
      <c r="N252"/>
      <c r="O252" s="559"/>
      <c r="P252" s="13" t="s">
        <v>9</v>
      </c>
      <c r="Q252" s="303"/>
      <c r="R252" s="304"/>
      <c r="S252" s="304"/>
      <c r="T252" s="304"/>
      <c r="U252" s="305"/>
      <c r="V252" s="286"/>
      <c r="W252" s="286"/>
      <c r="X252" s="286"/>
      <c r="Y252" s="283"/>
      <c r="Z252" s="284"/>
    </row>
    <row r="253" spans="2:27" ht="14" customHeight="1" x14ac:dyDescent="0.35">
      <c r="B253" s="559"/>
      <c r="C253" s="13"/>
      <c r="D253" s="228" t="s">
        <v>212</v>
      </c>
      <c r="E253" s="229"/>
      <c r="F253" s="229"/>
      <c r="G253" s="229"/>
      <c r="H253" s="230"/>
      <c r="I253" s="256" t="s">
        <v>19</v>
      </c>
      <c r="J253" s="257"/>
      <c r="K253" s="258"/>
      <c r="L253" s="283" t="s">
        <v>12</v>
      </c>
      <c r="M253" s="284"/>
      <c r="N253"/>
      <c r="O253" s="559"/>
      <c r="P253" s="13">
        <v>19568</v>
      </c>
      <c r="Q253" s="303" t="s">
        <v>271</v>
      </c>
      <c r="R253" s="304"/>
      <c r="S253" s="304"/>
      <c r="T253" s="304"/>
      <c r="U253" s="305"/>
      <c r="V253" s="285" t="s">
        <v>272</v>
      </c>
      <c r="W253" s="286"/>
      <c r="X253" s="287"/>
      <c r="Y253" s="283" t="s">
        <v>12</v>
      </c>
      <c r="Z253" s="284"/>
    </row>
    <row r="254" spans="2:27" ht="14" customHeight="1" x14ac:dyDescent="0.35">
      <c r="B254" s="560"/>
      <c r="C254" s="157">
        <v>19839</v>
      </c>
      <c r="D254" s="215" t="s">
        <v>213</v>
      </c>
      <c r="E254" s="216"/>
      <c r="F254" s="216"/>
      <c r="G254" s="216"/>
      <c r="H254" s="820"/>
      <c r="I254" s="687" t="s">
        <v>19</v>
      </c>
      <c r="J254" s="298"/>
      <c r="K254" s="299"/>
      <c r="L254" s="591" t="s">
        <v>12</v>
      </c>
      <c r="M254" s="592"/>
      <c r="N254"/>
      <c r="O254" s="560"/>
      <c r="P254" s="14">
        <v>19569</v>
      </c>
      <c r="Q254" s="316" t="s">
        <v>273</v>
      </c>
      <c r="R254" s="317"/>
      <c r="S254" s="317"/>
      <c r="T254" s="317"/>
      <c r="U254" s="318"/>
      <c r="V254" s="297" t="s">
        <v>268</v>
      </c>
      <c r="W254" s="298"/>
      <c r="X254" s="299"/>
      <c r="Y254" s="259" t="s">
        <v>12</v>
      </c>
      <c r="Z254" s="260"/>
    </row>
    <row r="255" spans="2:27" ht="14" customHeight="1" x14ac:dyDescent="0.35">
      <c r="B255" s="569">
        <v>103</v>
      </c>
      <c r="C255" s="44">
        <v>19115</v>
      </c>
      <c r="D255" s="429" t="s">
        <v>216</v>
      </c>
      <c r="E255" s="430"/>
      <c r="F255" s="430"/>
      <c r="G255" s="430"/>
      <c r="H255" s="431"/>
      <c r="I255" s="411" t="s">
        <v>27</v>
      </c>
      <c r="J255" s="412"/>
      <c r="K255" s="413"/>
      <c r="L255" s="339" t="s">
        <v>12</v>
      </c>
      <c r="M255" s="340"/>
      <c r="N255"/>
      <c r="O255" s="569">
        <v>104</v>
      </c>
      <c r="P255" s="43" t="s">
        <v>9</v>
      </c>
      <c r="Q255" s="458"/>
      <c r="R255" s="459"/>
      <c r="S255" s="459"/>
      <c r="T255" s="459"/>
      <c r="U255" s="460"/>
      <c r="V255" s="262"/>
      <c r="W255" s="263"/>
      <c r="X255" s="264"/>
      <c r="Y255" s="339"/>
      <c r="Z255" s="340"/>
    </row>
    <row r="256" spans="2:27" ht="14" customHeight="1" x14ac:dyDescent="0.35">
      <c r="B256" s="570"/>
      <c r="C256" s="44" t="s">
        <v>9</v>
      </c>
      <c r="D256" s="423"/>
      <c r="E256" s="424"/>
      <c r="F256" s="424"/>
      <c r="G256" s="424"/>
      <c r="H256" s="425"/>
      <c r="I256" s="268"/>
      <c r="J256" s="269"/>
      <c r="K256" s="270"/>
      <c r="L256" s="261"/>
      <c r="M256" s="227"/>
      <c r="N256"/>
      <c r="O256" s="570"/>
      <c r="P256" s="47">
        <v>19259</v>
      </c>
      <c r="Q256" s="224" t="s">
        <v>275</v>
      </c>
      <c r="R256" s="222"/>
      <c r="S256" s="222"/>
      <c r="T256" s="222"/>
      <c r="U256" s="225"/>
      <c r="V256" s="231" t="s">
        <v>40</v>
      </c>
      <c r="W256" s="232"/>
      <c r="X256" s="233"/>
      <c r="Y256" s="232" t="s">
        <v>12</v>
      </c>
      <c r="Z256" s="233"/>
    </row>
    <row r="257" spans="2:26" ht="14" customHeight="1" x14ac:dyDescent="0.35">
      <c r="B257" s="570"/>
      <c r="C257" s="44">
        <v>19264</v>
      </c>
      <c r="D257" s="725" t="s">
        <v>217</v>
      </c>
      <c r="E257" s="726"/>
      <c r="F257" s="726"/>
      <c r="G257" s="726"/>
      <c r="H257" s="727"/>
      <c r="I257" s="268" t="s">
        <v>21</v>
      </c>
      <c r="J257" s="269"/>
      <c r="K257" s="270"/>
      <c r="L257" s="261" t="s">
        <v>12</v>
      </c>
      <c r="M257" s="227"/>
      <c r="N257"/>
      <c r="O257" s="570"/>
      <c r="P257" s="44" t="s">
        <v>9</v>
      </c>
      <c r="Q257" s="224"/>
      <c r="R257" s="222"/>
      <c r="S257" s="222"/>
      <c r="T257" s="222"/>
      <c r="U257" s="225"/>
      <c r="V257" s="231"/>
      <c r="W257" s="232"/>
      <c r="X257" s="233"/>
      <c r="Y257" s="232"/>
      <c r="Z257" s="233"/>
    </row>
    <row r="258" spans="2:26" ht="14" customHeight="1" x14ac:dyDescent="0.35">
      <c r="B258" s="571"/>
      <c r="C258" s="45">
        <v>19576</v>
      </c>
      <c r="D258" s="234" t="s">
        <v>218</v>
      </c>
      <c r="E258" s="235"/>
      <c r="F258" s="235"/>
      <c r="G258" s="235"/>
      <c r="H258" s="236"/>
      <c r="I258" s="408" t="s">
        <v>150</v>
      </c>
      <c r="J258" s="409"/>
      <c r="K258" s="410"/>
      <c r="L258" s="490" t="s">
        <v>12</v>
      </c>
      <c r="M258" s="347"/>
      <c r="N258"/>
      <c r="O258" s="571"/>
      <c r="P258" s="61">
        <v>19959</v>
      </c>
      <c r="Q258" s="372" t="s">
        <v>276</v>
      </c>
      <c r="R258" s="373"/>
      <c r="S258" s="373"/>
      <c r="T258" s="373"/>
      <c r="U258" s="374"/>
      <c r="V258" s="494" t="s">
        <v>128</v>
      </c>
      <c r="W258" s="495"/>
      <c r="X258" s="496"/>
      <c r="Y258" s="905" t="s">
        <v>12</v>
      </c>
      <c r="Z258" s="906"/>
    </row>
    <row r="259" spans="2:26" ht="14" customHeight="1" x14ac:dyDescent="0.35">
      <c r="B259" s="559">
        <v>105</v>
      </c>
      <c r="C259" s="12">
        <v>19875</v>
      </c>
      <c r="D259" s="445" t="s">
        <v>277</v>
      </c>
      <c r="E259" s="446"/>
      <c r="F259" s="446"/>
      <c r="G259" s="446"/>
      <c r="H259" s="447"/>
      <c r="I259" s="206" t="s">
        <v>16</v>
      </c>
      <c r="J259" s="207"/>
      <c r="K259" s="208"/>
      <c r="L259" s="341" t="s">
        <v>12</v>
      </c>
      <c r="M259" s="340"/>
      <c r="N259"/>
      <c r="O259" s="559">
        <v>106</v>
      </c>
      <c r="P259" s="12" t="s">
        <v>9</v>
      </c>
      <c r="Q259" s="445"/>
      <c r="R259" s="446"/>
      <c r="S259" s="446"/>
      <c r="T259" s="446"/>
      <c r="U259" s="447"/>
      <c r="V259" s="206"/>
      <c r="W259" s="207"/>
      <c r="X259" s="208"/>
      <c r="Y259" s="339"/>
      <c r="Z259" s="340"/>
    </row>
    <row r="260" spans="2:26" ht="14" customHeight="1" x14ac:dyDescent="0.35">
      <c r="B260" s="559"/>
      <c r="C260" s="13" t="s">
        <v>9</v>
      </c>
      <c r="D260" s="303"/>
      <c r="E260" s="304"/>
      <c r="F260" s="304"/>
      <c r="G260" s="304"/>
      <c r="H260" s="305"/>
      <c r="I260" s="285"/>
      <c r="J260" s="286"/>
      <c r="K260" s="287"/>
      <c r="L260" s="283"/>
      <c r="M260" s="284"/>
      <c r="N260"/>
      <c r="O260" s="559"/>
      <c r="P260" s="13" t="s">
        <v>9</v>
      </c>
      <c r="Q260" s="303"/>
      <c r="R260" s="304"/>
      <c r="S260" s="304"/>
      <c r="T260" s="304"/>
      <c r="U260" s="305"/>
      <c r="V260" s="285"/>
      <c r="W260" s="286"/>
      <c r="X260" s="287"/>
      <c r="Y260" s="232"/>
      <c r="Z260" s="233"/>
    </row>
    <row r="261" spans="2:26" ht="14" customHeight="1" x14ac:dyDescent="0.35">
      <c r="B261" s="559"/>
      <c r="C261" s="13">
        <v>18736</v>
      </c>
      <c r="D261" s="303" t="s">
        <v>279</v>
      </c>
      <c r="E261" s="304"/>
      <c r="F261" s="304"/>
      <c r="G261" s="304"/>
      <c r="H261" s="305"/>
      <c r="I261" s="285" t="s">
        <v>280</v>
      </c>
      <c r="J261" s="286"/>
      <c r="K261" s="287"/>
      <c r="L261" s="226" t="s">
        <v>12</v>
      </c>
      <c r="M261" s="227"/>
      <c r="N261"/>
      <c r="O261" s="559"/>
      <c r="P261" s="13">
        <v>19511</v>
      </c>
      <c r="Q261" s="303" t="s">
        <v>281</v>
      </c>
      <c r="R261" s="304"/>
      <c r="S261" s="304"/>
      <c r="T261" s="304"/>
      <c r="U261" s="305"/>
      <c r="V261" s="285" t="s">
        <v>11</v>
      </c>
      <c r="W261" s="286"/>
      <c r="X261" s="287"/>
      <c r="Y261" s="232" t="s">
        <v>12</v>
      </c>
      <c r="Z261" s="233"/>
    </row>
    <row r="262" spans="2:26" ht="14" customHeight="1" x14ac:dyDescent="0.35">
      <c r="B262" s="560"/>
      <c r="C262" s="14" t="s">
        <v>9</v>
      </c>
      <c r="D262" s="316"/>
      <c r="E262" s="317"/>
      <c r="F262" s="317"/>
      <c r="G262" s="317"/>
      <c r="H262" s="318"/>
      <c r="I262" s="297"/>
      <c r="J262" s="298"/>
      <c r="K262" s="299"/>
      <c r="L262" s="346"/>
      <c r="M262" s="347"/>
      <c r="N262"/>
      <c r="O262" s="560"/>
      <c r="P262" s="14">
        <v>19525</v>
      </c>
      <c r="Q262" s="316" t="s">
        <v>282</v>
      </c>
      <c r="R262" s="317"/>
      <c r="S262" s="317"/>
      <c r="T262" s="317"/>
      <c r="U262" s="318"/>
      <c r="V262" s="297" t="s">
        <v>19</v>
      </c>
      <c r="W262" s="298"/>
      <c r="X262" s="299"/>
      <c r="Y262" s="249" t="s">
        <v>12</v>
      </c>
      <c r="Z262" s="250"/>
    </row>
    <row r="263" spans="2:26" ht="14" customHeight="1" x14ac:dyDescent="0.35">
      <c r="B263" s="569">
        <v>107</v>
      </c>
      <c r="C263" s="43">
        <v>19426</v>
      </c>
      <c r="D263" s="458" t="s">
        <v>283</v>
      </c>
      <c r="E263" s="459"/>
      <c r="F263" s="459"/>
      <c r="G263" s="459"/>
      <c r="H263" s="460"/>
      <c r="I263" s="262" t="s">
        <v>131</v>
      </c>
      <c r="J263" s="263"/>
      <c r="K263" s="590"/>
      <c r="L263" s="339" t="s">
        <v>12</v>
      </c>
      <c r="M263" s="340"/>
      <c r="N263"/>
      <c r="O263" s="569">
        <v>108</v>
      </c>
      <c r="P263" s="43">
        <v>19019</v>
      </c>
      <c r="Q263" s="372" t="s">
        <v>284</v>
      </c>
      <c r="R263" s="373"/>
      <c r="S263" s="373"/>
      <c r="T263" s="373"/>
      <c r="U263" s="374"/>
      <c r="V263" s="263" t="s">
        <v>19</v>
      </c>
      <c r="W263" s="263"/>
      <c r="X263" s="590"/>
      <c r="Y263" s="339" t="s">
        <v>12</v>
      </c>
      <c r="Z263" s="340"/>
    </row>
    <row r="264" spans="2:26" ht="14" customHeight="1" x14ac:dyDescent="0.35">
      <c r="B264" s="570"/>
      <c r="C264" s="47"/>
      <c r="D264" s="224"/>
      <c r="E264" s="222"/>
      <c r="F264" s="222"/>
      <c r="G264" s="222"/>
      <c r="H264" s="225"/>
      <c r="I264" s="495"/>
      <c r="J264" s="495"/>
      <c r="K264" s="672"/>
      <c r="L264" s="261"/>
      <c r="M264" s="227"/>
      <c r="N264"/>
      <c r="O264" s="570"/>
      <c r="P264" s="69" t="s">
        <v>9</v>
      </c>
      <c r="Q264" s="558"/>
      <c r="R264" s="501"/>
      <c r="S264" s="501"/>
      <c r="T264" s="501"/>
      <c r="U264" s="502"/>
      <c r="V264" s="232"/>
      <c r="W264" s="232"/>
      <c r="X264" s="302"/>
      <c r="Y264" s="232"/>
      <c r="Z264" s="233"/>
    </row>
    <row r="265" spans="2:26" ht="14" customHeight="1" x14ac:dyDescent="0.35">
      <c r="B265" s="570"/>
      <c r="C265" s="44">
        <v>19427</v>
      </c>
      <c r="D265" s="224" t="s">
        <v>285</v>
      </c>
      <c r="E265" s="222"/>
      <c r="F265" s="222"/>
      <c r="G265" s="222"/>
      <c r="H265" s="225"/>
      <c r="I265" s="231" t="s">
        <v>131</v>
      </c>
      <c r="J265" s="232"/>
      <c r="K265" s="302"/>
      <c r="L265" s="261" t="s">
        <v>12</v>
      </c>
      <c r="M265" s="227"/>
      <c r="N265"/>
      <c r="O265" s="570"/>
      <c r="P265" s="167" t="s">
        <v>9</v>
      </c>
      <c r="Q265" s="843"/>
      <c r="R265" s="497"/>
      <c r="S265" s="497"/>
      <c r="T265" s="497"/>
      <c r="U265" s="589"/>
      <c r="V265" s="232"/>
      <c r="W265" s="232"/>
      <c r="X265" s="302"/>
      <c r="Y265" s="370"/>
      <c r="Z265" s="395"/>
    </row>
    <row r="266" spans="2:26" ht="14" customHeight="1" x14ac:dyDescent="0.35">
      <c r="B266" s="571"/>
      <c r="C266" s="45">
        <v>19408</v>
      </c>
      <c r="D266" s="351" t="s">
        <v>286</v>
      </c>
      <c r="E266" s="352"/>
      <c r="F266" s="352"/>
      <c r="G266" s="352"/>
      <c r="H266" s="353"/>
      <c r="I266" s="248" t="s">
        <v>40</v>
      </c>
      <c r="J266" s="249"/>
      <c r="K266" s="577"/>
      <c r="L266" s="490" t="s">
        <v>12</v>
      </c>
      <c r="M266" s="347"/>
      <c r="N266"/>
      <c r="O266" s="571"/>
      <c r="P266" s="61" t="s">
        <v>9</v>
      </c>
      <c r="Q266" s="375"/>
      <c r="R266" s="376"/>
      <c r="S266" s="376"/>
      <c r="T266" s="376"/>
      <c r="U266" s="377"/>
      <c r="V266" s="249"/>
      <c r="W266" s="249"/>
      <c r="X266" s="577"/>
      <c r="Y266" s="249"/>
      <c r="Z266" s="250"/>
    </row>
    <row r="267" spans="2:26" ht="14" customHeight="1" x14ac:dyDescent="0.35">
      <c r="B267" s="559">
        <v>109</v>
      </c>
      <c r="C267" s="11">
        <v>19463</v>
      </c>
      <c r="D267" s="796" t="s">
        <v>233</v>
      </c>
      <c r="E267" s="797"/>
      <c r="F267" s="797"/>
      <c r="G267" s="797"/>
      <c r="H267" s="798"/>
      <c r="I267" s="367" t="s">
        <v>25</v>
      </c>
      <c r="J267" s="368"/>
      <c r="K267" s="369"/>
      <c r="L267" s="246" t="s">
        <v>12</v>
      </c>
      <c r="M267" s="247"/>
      <c r="N267"/>
      <c r="O267" s="559">
        <v>110</v>
      </c>
      <c r="P267" s="12" t="s">
        <v>9</v>
      </c>
      <c r="Q267" s="445"/>
      <c r="R267" s="446"/>
      <c r="S267" s="446"/>
      <c r="T267" s="446"/>
      <c r="U267" s="447"/>
      <c r="V267" s="206"/>
      <c r="W267" s="207"/>
      <c r="X267" s="208"/>
      <c r="Y267" s="341"/>
      <c r="Z267" s="340"/>
    </row>
    <row r="268" spans="2:26" ht="14" customHeight="1" x14ac:dyDescent="0.35">
      <c r="B268" s="559"/>
      <c r="C268" s="13">
        <v>19503</v>
      </c>
      <c r="D268" s="228" t="s">
        <v>234</v>
      </c>
      <c r="E268" s="229"/>
      <c r="F268" s="229"/>
      <c r="G268" s="229"/>
      <c r="H268" s="230"/>
      <c r="I268" s="256" t="s">
        <v>25</v>
      </c>
      <c r="J268" s="257"/>
      <c r="K268" s="258"/>
      <c r="L268" s="283" t="s">
        <v>12</v>
      </c>
      <c r="M268" s="284"/>
      <c r="N268"/>
      <c r="O268" s="559"/>
      <c r="P268" s="13">
        <v>18638</v>
      </c>
      <c r="Q268" s="303" t="s">
        <v>287</v>
      </c>
      <c r="R268" s="304"/>
      <c r="S268" s="304"/>
      <c r="T268" s="304"/>
      <c r="U268" s="305"/>
      <c r="V268" s="285" t="s">
        <v>40</v>
      </c>
      <c r="W268" s="286"/>
      <c r="X268" s="287"/>
      <c r="Y268" s="226" t="s">
        <v>12</v>
      </c>
      <c r="Z268" s="227"/>
    </row>
    <row r="269" spans="2:26" ht="14" customHeight="1" x14ac:dyDescent="0.35">
      <c r="B269" s="559"/>
      <c r="C269" s="13" t="s">
        <v>9</v>
      </c>
      <c r="D269" s="303"/>
      <c r="E269" s="304"/>
      <c r="F269" s="304"/>
      <c r="G269" s="304"/>
      <c r="H269" s="305"/>
      <c r="I269" s="285"/>
      <c r="J269" s="286"/>
      <c r="K269" s="287"/>
      <c r="L269" s="283"/>
      <c r="M269" s="284"/>
      <c r="N269"/>
      <c r="O269" s="559"/>
      <c r="P269" s="13">
        <v>18862</v>
      </c>
      <c r="Q269" s="524" t="s">
        <v>288</v>
      </c>
      <c r="R269" s="525"/>
      <c r="S269" s="525"/>
      <c r="T269" s="525"/>
      <c r="U269" s="526"/>
      <c r="V269" s="488" t="s">
        <v>128</v>
      </c>
      <c r="W269" s="517"/>
      <c r="X269" s="489"/>
      <c r="Y269" s="226" t="s">
        <v>12</v>
      </c>
      <c r="Z269" s="227"/>
    </row>
    <row r="270" spans="2:26" ht="14" customHeight="1" x14ac:dyDescent="0.35">
      <c r="B270" s="560"/>
      <c r="C270" s="12" t="s">
        <v>9</v>
      </c>
      <c r="D270" s="303"/>
      <c r="E270" s="304"/>
      <c r="F270" s="304"/>
      <c r="G270" s="304"/>
      <c r="H270" s="305"/>
      <c r="I270" s="285"/>
      <c r="J270" s="286"/>
      <c r="K270" s="388"/>
      <c r="L270" s="259"/>
      <c r="M270" s="260"/>
      <c r="N270"/>
      <c r="O270" s="560"/>
      <c r="P270" s="130">
        <v>19941</v>
      </c>
      <c r="Q270" s="316" t="s">
        <v>289</v>
      </c>
      <c r="R270" s="317"/>
      <c r="S270" s="317"/>
      <c r="T270" s="317"/>
      <c r="U270" s="318"/>
      <c r="V270" s="297" t="s">
        <v>27</v>
      </c>
      <c r="W270" s="298"/>
      <c r="X270" s="299"/>
      <c r="Y270" s="346" t="s">
        <v>12</v>
      </c>
      <c r="Z270" s="347"/>
    </row>
    <row r="271" spans="2:26" ht="14" customHeight="1" x14ac:dyDescent="0.35">
      <c r="B271" s="569">
        <v>111</v>
      </c>
      <c r="C271" s="43">
        <v>19527</v>
      </c>
      <c r="D271" s="458" t="s">
        <v>290</v>
      </c>
      <c r="E271" s="459"/>
      <c r="F271" s="459"/>
      <c r="G271" s="459"/>
      <c r="H271" s="460"/>
      <c r="I271" s="262" t="s">
        <v>112</v>
      </c>
      <c r="J271" s="263"/>
      <c r="K271" s="264"/>
      <c r="L271" s="341" t="s">
        <v>12</v>
      </c>
      <c r="M271" s="340"/>
      <c r="N271"/>
      <c r="O271" s="569">
        <v>112</v>
      </c>
      <c r="P271" s="43">
        <v>1976</v>
      </c>
      <c r="Q271" s="458" t="s">
        <v>291</v>
      </c>
      <c r="R271" s="459"/>
      <c r="S271" s="459"/>
      <c r="T271" s="459"/>
      <c r="U271" s="460"/>
      <c r="V271" s="262" t="s">
        <v>21</v>
      </c>
      <c r="W271" s="263"/>
      <c r="X271" s="264"/>
      <c r="Y271" s="339" t="s">
        <v>12</v>
      </c>
      <c r="Z271" s="340"/>
    </row>
    <row r="272" spans="2:26" ht="14" customHeight="1" x14ac:dyDescent="0.35">
      <c r="B272" s="570"/>
      <c r="C272" s="47" t="s">
        <v>9</v>
      </c>
      <c r="D272" s="224"/>
      <c r="E272" s="222"/>
      <c r="F272" s="222"/>
      <c r="G272" s="222"/>
      <c r="H272" s="225"/>
      <c r="I272" s="394"/>
      <c r="J272" s="370"/>
      <c r="K272" s="395"/>
      <c r="L272" s="226"/>
      <c r="M272" s="227"/>
      <c r="N272"/>
      <c r="O272" s="570"/>
      <c r="P272" s="44" t="s">
        <v>9</v>
      </c>
      <c r="Q272" s="423"/>
      <c r="R272" s="424"/>
      <c r="S272" s="424"/>
      <c r="T272" s="424"/>
      <c r="U272" s="425"/>
      <c r="V272" s="268"/>
      <c r="W272" s="269"/>
      <c r="X272" s="270"/>
      <c r="Y272" s="231"/>
      <c r="Z272" s="233"/>
    </row>
    <row r="273" spans="2:26" ht="14" customHeight="1" x14ac:dyDescent="0.35">
      <c r="B273" s="570"/>
      <c r="C273" s="44" t="s">
        <v>9</v>
      </c>
      <c r="D273" s="224"/>
      <c r="E273" s="222"/>
      <c r="F273" s="222"/>
      <c r="G273" s="222"/>
      <c r="H273" s="225"/>
      <c r="I273" s="231"/>
      <c r="J273" s="232"/>
      <c r="K273" s="233"/>
      <c r="L273" s="226"/>
      <c r="M273" s="227"/>
      <c r="N273"/>
      <c r="O273" s="570"/>
      <c r="P273" s="47" t="s">
        <v>9</v>
      </c>
      <c r="Q273" s="725"/>
      <c r="R273" s="726"/>
      <c r="S273" s="726"/>
      <c r="T273" s="726"/>
      <c r="U273" s="727"/>
      <c r="V273" s="907"/>
      <c r="W273" s="908"/>
      <c r="X273" s="909"/>
      <c r="Y273" s="232"/>
      <c r="Z273" s="233"/>
    </row>
    <row r="274" spans="2:26" ht="14" customHeight="1" x14ac:dyDescent="0.35">
      <c r="B274" s="571"/>
      <c r="C274" s="45" t="s">
        <v>9</v>
      </c>
      <c r="D274" s="558"/>
      <c r="E274" s="352"/>
      <c r="F274" s="352"/>
      <c r="G274" s="352"/>
      <c r="H274" s="353"/>
      <c r="I274" s="370"/>
      <c r="J274" s="370"/>
      <c r="K274" s="370"/>
      <c r="L274" s="346"/>
      <c r="M274" s="347"/>
      <c r="N274"/>
      <c r="O274" s="571"/>
      <c r="P274" s="45" t="s">
        <v>9</v>
      </c>
      <c r="Q274" s="224"/>
      <c r="R274" s="222"/>
      <c r="S274" s="222"/>
      <c r="T274" s="222"/>
      <c r="U274" s="225"/>
      <c r="V274" s="504"/>
      <c r="W274" s="504"/>
      <c r="X274" s="504"/>
      <c r="Y274" s="248"/>
      <c r="Z274" s="250"/>
    </row>
    <row r="275" spans="2:26" ht="14" customHeight="1" x14ac:dyDescent="0.35">
      <c r="B275" s="559">
        <v>113</v>
      </c>
      <c r="C275" s="12">
        <v>18820</v>
      </c>
      <c r="D275" s="445" t="s">
        <v>292</v>
      </c>
      <c r="E275" s="446"/>
      <c r="F275" s="446"/>
      <c r="G275" s="446"/>
      <c r="H275" s="447"/>
      <c r="I275" s="206" t="s">
        <v>27</v>
      </c>
      <c r="J275" s="207"/>
      <c r="K275" s="598"/>
      <c r="L275" s="339" t="s">
        <v>12</v>
      </c>
      <c r="M275" s="340"/>
      <c r="N275"/>
      <c r="O275" s="559">
        <v>114</v>
      </c>
      <c r="P275" s="11">
        <v>18629</v>
      </c>
      <c r="Q275" s="445" t="s">
        <v>293</v>
      </c>
      <c r="R275" s="446"/>
      <c r="S275" s="446"/>
      <c r="T275" s="446"/>
      <c r="U275" s="447"/>
      <c r="V275" s="207" t="s">
        <v>294</v>
      </c>
      <c r="W275" s="207"/>
      <c r="X275" s="208"/>
      <c r="Y275" s="341" t="s">
        <v>12</v>
      </c>
      <c r="Z275" s="340"/>
    </row>
    <row r="276" spans="2:26" ht="14" customHeight="1" x14ac:dyDescent="0.35">
      <c r="B276" s="559"/>
      <c r="C276" s="13" t="s">
        <v>9</v>
      </c>
      <c r="D276" s="600"/>
      <c r="E276" s="601"/>
      <c r="F276" s="601"/>
      <c r="G276" s="601"/>
      <c r="H276" s="602"/>
      <c r="I276" s="439"/>
      <c r="J276" s="440"/>
      <c r="K276" s="441"/>
      <c r="L276" s="491"/>
      <c r="M276" s="284"/>
      <c r="N276"/>
      <c r="O276" s="559"/>
      <c r="P276" s="12">
        <v>19442</v>
      </c>
      <c r="Q276" s="212" t="s">
        <v>373</v>
      </c>
      <c r="R276" s="213"/>
      <c r="S276" s="213"/>
      <c r="T276" s="213"/>
      <c r="U276" s="214"/>
      <c r="V276" s="292" t="s">
        <v>128</v>
      </c>
      <c r="W276" s="293"/>
      <c r="X276" s="453"/>
      <c r="Y276" s="226" t="s">
        <v>12</v>
      </c>
      <c r="Z276" s="227"/>
    </row>
    <row r="277" spans="2:26" ht="14" customHeight="1" x14ac:dyDescent="0.35">
      <c r="B277" s="559"/>
      <c r="C277" s="13" t="s">
        <v>9</v>
      </c>
      <c r="D277" s="303"/>
      <c r="E277" s="304"/>
      <c r="F277" s="304"/>
      <c r="G277" s="304"/>
      <c r="H277" s="305"/>
      <c r="I277" s="285"/>
      <c r="J277" s="286"/>
      <c r="K277" s="388"/>
      <c r="L277" s="491"/>
      <c r="M277" s="284"/>
      <c r="N277"/>
      <c r="O277" s="766"/>
      <c r="P277" s="13">
        <v>19381</v>
      </c>
      <c r="Q277" s="303" t="s">
        <v>375</v>
      </c>
      <c r="R277" s="304"/>
      <c r="S277" s="304"/>
      <c r="T277" s="304"/>
      <c r="U277" s="305"/>
      <c r="V277" s="285" t="s">
        <v>376</v>
      </c>
      <c r="W277" s="286"/>
      <c r="X277" s="388"/>
      <c r="Y277" s="261" t="s">
        <v>12</v>
      </c>
      <c r="Z277" s="227"/>
    </row>
    <row r="278" spans="2:26" ht="14" customHeight="1" x14ac:dyDescent="0.35">
      <c r="B278" s="560"/>
      <c r="C278" s="14">
        <v>19604</v>
      </c>
      <c r="D278" s="316" t="s">
        <v>295</v>
      </c>
      <c r="E278" s="317"/>
      <c r="F278" s="317"/>
      <c r="G278" s="317"/>
      <c r="H278" s="318"/>
      <c r="I278" s="297" t="s">
        <v>23</v>
      </c>
      <c r="J278" s="298"/>
      <c r="K278" s="299"/>
      <c r="L278" s="346" t="s">
        <v>12</v>
      </c>
      <c r="M278" s="347"/>
      <c r="N278"/>
      <c r="O278" s="560"/>
      <c r="P278" s="65" t="s">
        <v>9</v>
      </c>
      <c r="Q278" s="610"/>
      <c r="R278" s="611"/>
      <c r="S278" s="611"/>
      <c r="T278" s="611"/>
      <c r="U278" s="612"/>
      <c r="V278" s="320"/>
      <c r="W278" s="320"/>
      <c r="X278" s="321"/>
      <c r="Y278" s="346"/>
      <c r="Z278" s="347"/>
    </row>
    <row r="279" spans="2:26" ht="14" customHeight="1" x14ac:dyDescent="0.35">
      <c r="B279" s="569">
        <v>115</v>
      </c>
      <c r="C279" s="43" t="s">
        <v>9</v>
      </c>
      <c r="D279" s="458"/>
      <c r="E279" s="459"/>
      <c r="F279" s="459"/>
      <c r="G279" s="459"/>
      <c r="H279" s="460"/>
      <c r="I279" s="262"/>
      <c r="J279" s="263"/>
      <c r="K279" s="264"/>
      <c r="L279" s="339"/>
      <c r="M279" s="340"/>
      <c r="N279"/>
      <c r="O279" s="569">
        <v>116</v>
      </c>
      <c r="P279" s="47">
        <v>19853</v>
      </c>
      <c r="Q279" s="458" t="s">
        <v>261</v>
      </c>
      <c r="R279" s="459"/>
      <c r="S279" s="459"/>
      <c r="T279" s="459"/>
      <c r="U279" s="460"/>
      <c r="V279" s="262" t="s">
        <v>262</v>
      </c>
      <c r="W279" s="263"/>
      <c r="X279" s="590"/>
      <c r="Y279" s="339" t="s">
        <v>12</v>
      </c>
      <c r="Z279" s="340"/>
    </row>
    <row r="280" spans="2:26" ht="14" customHeight="1" x14ac:dyDescent="0.35">
      <c r="B280" s="570"/>
      <c r="C280" s="47">
        <v>19687</v>
      </c>
      <c r="D280" s="372" t="s">
        <v>127</v>
      </c>
      <c r="E280" s="373"/>
      <c r="F280" s="373"/>
      <c r="G280" s="373"/>
      <c r="H280" s="374"/>
      <c r="I280" s="394" t="s">
        <v>128</v>
      </c>
      <c r="J280" s="370"/>
      <c r="K280" s="395"/>
      <c r="L280" s="261" t="s">
        <v>12</v>
      </c>
      <c r="M280" s="227"/>
      <c r="N280"/>
      <c r="O280" s="570"/>
      <c r="P280" s="175" t="s">
        <v>9</v>
      </c>
      <c r="Q280" s="224"/>
      <c r="R280" s="222"/>
      <c r="S280" s="222"/>
      <c r="T280" s="222"/>
      <c r="U280" s="225"/>
      <c r="V280" s="231"/>
      <c r="W280" s="232"/>
      <c r="X280" s="233"/>
      <c r="Y280" s="232"/>
      <c r="Z280" s="233"/>
    </row>
    <row r="281" spans="2:26" ht="14" customHeight="1" x14ac:dyDescent="0.35">
      <c r="B281" s="570"/>
      <c r="C281" s="47">
        <v>19652</v>
      </c>
      <c r="D281" s="372" t="s">
        <v>296</v>
      </c>
      <c r="E281" s="373"/>
      <c r="F281" s="373"/>
      <c r="G281" s="373"/>
      <c r="H281" s="374"/>
      <c r="I281" s="394" t="s">
        <v>19</v>
      </c>
      <c r="J281" s="370"/>
      <c r="K281" s="395"/>
      <c r="L281" s="261" t="s">
        <v>12</v>
      </c>
      <c r="M281" s="227"/>
      <c r="N281"/>
      <c r="O281" s="570"/>
      <c r="P281" s="175">
        <v>19874</v>
      </c>
      <c r="Q281" s="224" t="s">
        <v>297</v>
      </c>
      <c r="R281" s="222"/>
      <c r="S281" s="222"/>
      <c r="T281" s="222"/>
      <c r="U281" s="225"/>
      <c r="V281" s="232" t="s">
        <v>128</v>
      </c>
      <c r="W281" s="232"/>
      <c r="X281" s="232"/>
      <c r="Y281" s="231" t="s">
        <v>12</v>
      </c>
      <c r="Z281" s="233"/>
    </row>
    <row r="282" spans="2:26" ht="14" customHeight="1" x14ac:dyDescent="0.35">
      <c r="B282" s="571"/>
      <c r="C282" s="45">
        <v>19567</v>
      </c>
      <c r="D282" s="351" t="s">
        <v>298</v>
      </c>
      <c r="E282" s="352"/>
      <c r="F282" s="352"/>
      <c r="G282" s="352"/>
      <c r="H282" s="353"/>
      <c r="I282" s="248" t="s">
        <v>23</v>
      </c>
      <c r="J282" s="249"/>
      <c r="K282" s="250"/>
      <c r="L282" s="346" t="s">
        <v>12</v>
      </c>
      <c r="M282" s="347"/>
      <c r="N282"/>
      <c r="O282" s="571"/>
      <c r="P282" s="165" t="s">
        <v>9</v>
      </c>
      <c r="Q282" s="224"/>
      <c r="R282" s="222"/>
      <c r="S282" s="222"/>
      <c r="T282" s="222"/>
      <c r="U282" s="225"/>
      <c r="V282" s="248"/>
      <c r="W282" s="249"/>
      <c r="X282" s="250"/>
      <c r="Y282" s="249"/>
      <c r="Z282" s="250"/>
    </row>
    <row r="283" spans="2:26" ht="14" customHeight="1" x14ac:dyDescent="0.35">
      <c r="B283" s="559">
        <v>117</v>
      </c>
      <c r="C283" s="11" t="s">
        <v>9</v>
      </c>
      <c r="D283" s="435"/>
      <c r="E283" s="436"/>
      <c r="F283" s="436"/>
      <c r="G283" s="436"/>
      <c r="H283" s="437"/>
      <c r="I283" s="800"/>
      <c r="J283" s="801"/>
      <c r="K283" s="801"/>
      <c r="L283" s="802"/>
      <c r="M283" s="803"/>
      <c r="N283"/>
      <c r="O283" s="559">
        <v>118</v>
      </c>
      <c r="P283" s="12"/>
      <c r="Q283" s="445" t="s">
        <v>299</v>
      </c>
      <c r="R283" s="446"/>
      <c r="S283" s="446"/>
      <c r="T283" s="446"/>
      <c r="U283" s="447"/>
      <c r="V283" s="206"/>
      <c r="W283" s="207"/>
      <c r="X283" s="208"/>
      <c r="Y283" s="341" t="s">
        <v>300</v>
      </c>
      <c r="Z283" s="340"/>
    </row>
    <row r="284" spans="2:26" ht="14" customHeight="1" x14ac:dyDescent="0.35">
      <c r="B284" s="559"/>
      <c r="C284" s="13">
        <v>18701</v>
      </c>
      <c r="D284" s="229" t="s">
        <v>301</v>
      </c>
      <c r="E284" s="229"/>
      <c r="F284" s="229"/>
      <c r="G284" s="229"/>
      <c r="H284" s="230"/>
      <c r="I284" s="256" t="s">
        <v>302</v>
      </c>
      <c r="J284" s="257"/>
      <c r="K284" s="799"/>
      <c r="L284" s="746" t="s">
        <v>12</v>
      </c>
      <c r="M284" s="296"/>
      <c r="N284"/>
      <c r="O284" s="559"/>
      <c r="P284" s="13"/>
      <c r="Q284" s="303" t="s">
        <v>303</v>
      </c>
      <c r="R284" s="304"/>
      <c r="S284" s="304"/>
      <c r="T284" s="304"/>
      <c r="U284" s="305"/>
      <c r="V284" s="285"/>
      <c r="W284" s="286"/>
      <c r="X284" s="287"/>
      <c r="Y284" s="285" t="s">
        <v>304</v>
      </c>
      <c r="Z284" s="287"/>
    </row>
    <row r="285" spans="2:26" ht="14" customHeight="1" x14ac:dyDescent="0.35">
      <c r="B285" s="559"/>
      <c r="C285" s="13">
        <v>19909</v>
      </c>
      <c r="D285" s="228" t="s">
        <v>201</v>
      </c>
      <c r="E285" s="229"/>
      <c r="F285" s="229"/>
      <c r="G285" s="229"/>
      <c r="H285" s="230"/>
      <c r="I285" s="256" t="s">
        <v>19</v>
      </c>
      <c r="J285" s="257"/>
      <c r="K285" s="258"/>
      <c r="L285" s="746" t="s">
        <v>12</v>
      </c>
      <c r="M285" s="296"/>
      <c r="N285"/>
      <c r="O285" s="559"/>
      <c r="P285" s="13"/>
      <c r="Q285" s="303" t="s">
        <v>305</v>
      </c>
      <c r="R285" s="304"/>
      <c r="S285" s="304"/>
      <c r="T285" s="304"/>
      <c r="U285" s="305"/>
      <c r="V285" s="285"/>
      <c r="W285" s="286"/>
      <c r="X285" s="287"/>
      <c r="Y285" s="231" t="s">
        <v>304</v>
      </c>
      <c r="Z285" s="233"/>
    </row>
    <row r="286" spans="2:26" ht="14" customHeight="1" x14ac:dyDescent="0.35">
      <c r="B286" s="560"/>
      <c r="C286" s="14" t="s">
        <v>9</v>
      </c>
      <c r="D286" s="316"/>
      <c r="E286" s="317"/>
      <c r="F286" s="317"/>
      <c r="G286" s="317"/>
      <c r="H286" s="318"/>
      <c r="I286" s="297"/>
      <c r="J286" s="298"/>
      <c r="K286" s="688"/>
      <c r="L286" s="685"/>
      <c r="M286" s="686"/>
      <c r="N286"/>
      <c r="O286" s="560"/>
      <c r="P286" s="14"/>
      <c r="Q286" s="316"/>
      <c r="R286" s="317"/>
      <c r="S286" s="317"/>
      <c r="T286" s="317"/>
      <c r="U286" s="318"/>
      <c r="V286" s="319"/>
      <c r="W286" s="320"/>
      <c r="X286" s="321"/>
      <c r="Y286" s="297"/>
      <c r="Z286" s="299"/>
    </row>
    <row r="287" spans="2:26" ht="14" customHeight="1" x14ac:dyDescent="0.35">
      <c r="B287" s="569">
        <v>119</v>
      </c>
      <c r="C287" s="43" t="s">
        <v>9</v>
      </c>
      <c r="D287" s="458"/>
      <c r="E287" s="459"/>
      <c r="F287" s="459"/>
      <c r="G287" s="459"/>
      <c r="H287" s="460"/>
      <c r="I287" s="263"/>
      <c r="J287" s="263"/>
      <c r="K287" s="590"/>
      <c r="L287" s="438"/>
      <c r="M287" s="247"/>
      <c r="N287"/>
      <c r="O287" s="569">
        <v>120</v>
      </c>
      <c r="P287" s="43" t="s">
        <v>9</v>
      </c>
      <c r="Q287" s="458"/>
      <c r="R287" s="459"/>
      <c r="S287" s="459"/>
      <c r="T287" s="459"/>
      <c r="U287" s="460"/>
      <c r="V287" s="262"/>
      <c r="W287" s="263"/>
      <c r="X287" s="264"/>
      <c r="Y287" s="339"/>
      <c r="Z287" s="340"/>
    </row>
    <row r="288" spans="2:26" ht="14" customHeight="1" x14ac:dyDescent="0.35">
      <c r="B288" s="570"/>
      <c r="C288" s="47">
        <v>236</v>
      </c>
      <c r="D288" s="224" t="s">
        <v>306</v>
      </c>
      <c r="E288" s="222"/>
      <c r="F288" s="222"/>
      <c r="G288" s="222"/>
      <c r="H288" s="225"/>
      <c r="I288" s="232" t="s">
        <v>307</v>
      </c>
      <c r="J288" s="232"/>
      <c r="K288" s="302"/>
      <c r="L288" s="742" t="s">
        <v>308</v>
      </c>
      <c r="M288" s="743"/>
      <c r="N288"/>
      <c r="O288" s="570"/>
      <c r="P288" s="155">
        <v>19545</v>
      </c>
      <c r="Q288" s="224" t="s">
        <v>309</v>
      </c>
      <c r="R288" s="222"/>
      <c r="S288" s="222"/>
      <c r="T288" s="222"/>
      <c r="U288" s="225"/>
      <c r="V288" s="231" t="s">
        <v>310</v>
      </c>
      <c r="W288" s="232"/>
      <c r="X288" s="233"/>
      <c r="Y288" s="232" t="s">
        <v>12</v>
      </c>
      <c r="Z288" s="233"/>
    </row>
    <row r="289" spans="2:26" ht="14" customHeight="1" x14ac:dyDescent="0.35">
      <c r="B289" s="570"/>
      <c r="C289" s="44">
        <v>235</v>
      </c>
      <c r="D289" s="224" t="s">
        <v>311</v>
      </c>
      <c r="E289" s="222"/>
      <c r="F289" s="222"/>
      <c r="G289" s="222"/>
      <c r="H289" s="225"/>
      <c r="I289" s="231" t="s">
        <v>307</v>
      </c>
      <c r="J289" s="232"/>
      <c r="K289" s="233"/>
      <c r="L289" s="744" t="s">
        <v>308</v>
      </c>
      <c r="M289" s="745"/>
      <c r="N289"/>
      <c r="O289" s="570"/>
      <c r="P289" s="44">
        <v>19684</v>
      </c>
      <c r="Q289" s="224" t="s">
        <v>312</v>
      </c>
      <c r="R289" s="222"/>
      <c r="S289" s="222"/>
      <c r="T289" s="222"/>
      <c r="U289" s="225"/>
      <c r="V289" s="231" t="s">
        <v>79</v>
      </c>
      <c r="W289" s="232"/>
      <c r="X289" s="233"/>
      <c r="Y289" s="232" t="s">
        <v>12</v>
      </c>
      <c r="Z289" s="233"/>
    </row>
    <row r="290" spans="2:26" ht="14" customHeight="1" x14ac:dyDescent="0.35">
      <c r="B290" s="571"/>
      <c r="C290" s="45">
        <v>346</v>
      </c>
      <c r="D290" s="351" t="s">
        <v>313</v>
      </c>
      <c r="E290" s="352"/>
      <c r="F290" s="352"/>
      <c r="G290" s="352"/>
      <c r="H290" s="353"/>
      <c r="I290" s="248" t="s">
        <v>42</v>
      </c>
      <c r="J290" s="249"/>
      <c r="K290" s="577"/>
      <c r="L290" s="584" t="s">
        <v>308</v>
      </c>
      <c r="M290" s="289"/>
      <c r="N290"/>
      <c r="O290" s="571"/>
      <c r="P290" s="156" t="s">
        <v>9</v>
      </c>
      <c r="Q290" s="224"/>
      <c r="R290" s="222"/>
      <c r="S290" s="222"/>
      <c r="T290" s="222"/>
      <c r="U290" s="225"/>
      <c r="V290" s="248"/>
      <c r="W290" s="249"/>
      <c r="X290" s="250"/>
      <c r="Y290" s="249"/>
      <c r="Z290" s="250"/>
    </row>
    <row r="291" spans="2:26" ht="14" customHeight="1" x14ac:dyDescent="0.35">
      <c r="B291" s="609">
        <v>121</v>
      </c>
      <c r="C291" s="12">
        <v>116</v>
      </c>
      <c r="D291" s="445" t="s">
        <v>314</v>
      </c>
      <c r="E291" s="446"/>
      <c r="F291" s="446"/>
      <c r="G291" s="446"/>
      <c r="H291" s="447"/>
      <c r="I291" s="641" t="s">
        <v>315</v>
      </c>
      <c r="J291" s="623"/>
      <c r="K291" s="624"/>
      <c r="L291" s="622" t="s">
        <v>308</v>
      </c>
      <c r="M291" s="642"/>
      <c r="N291"/>
      <c r="O291" s="559">
        <v>122</v>
      </c>
      <c r="P291" s="12" t="s">
        <v>9</v>
      </c>
      <c r="Q291" s="445"/>
      <c r="R291" s="446"/>
      <c r="S291" s="446"/>
      <c r="T291" s="446"/>
      <c r="U291" s="447"/>
      <c r="V291" s="206"/>
      <c r="W291" s="207"/>
      <c r="X291" s="208"/>
      <c r="Y291" s="341"/>
      <c r="Z291" s="340"/>
    </row>
    <row r="292" spans="2:26" ht="14" customHeight="1" x14ac:dyDescent="0.35">
      <c r="B292" s="559"/>
      <c r="C292" s="13" t="s">
        <v>9</v>
      </c>
      <c r="D292" s="303"/>
      <c r="E292" s="304"/>
      <c r="F292" s="304"/>
      <c r="G292" s="304"/>
      <c r="H292" s="305"/>
      <c r="I292" s="747"/>
      <c r="J292" s="748"/>
      <c r="K292" s="749"/>
      <c r="L292" s="406"/>
      <c r="M292" s="407"/>
      <c r="N292"/>
      <c r="O292" s="559"/>
      <c r="P292" s="13">
        <v>20027</v>
      </c>
      <c r="Q292" s="435" t="s">
        <v>336</v>
      </c>
      <c r="R292" s="436"/>
      <c r="S292" s="436"/>
      <c r="T292" s="436"/>
      <c r="U292" s="437"/>
      <c r="V292" s="439" t="s">
        <v>40</v>
      </c>
      <c r="W292" s="440"/>
      <c r="X292" s="441"/>
      <c r="Y292" s="285" t="s">
        <v>12</v>
      </c>
      <c r="Z292" s="287"/>
    </row>
    <row r="293" spans="2:26" ht="14" customHeight="1" x14ac:dyDescent="0.35">
      <c r="B293" s="559"/>
      <c r="C293" s="13">
        <v>235</v>
      </c>
      <c r="D293" s="303" t="s">
        <v>316</v>
      </c>
      <c r="E293" s="304"/>
      <c r="F293" s="304"/>
      <c r="G293" s="304"/>
      <c r="H293" s="305"/>
      <c r="I293" s="285" t="s">
        <v>317</v>
      </c>
      <c r="J293" s="286"/>
      <c r="K293" s="388"/>
      <c r="L293" s="387" t="s">
        <v>308</v>
      </c>
      <c r="M293" s="287"/>
      <c r="N293"/>
      <c r="O293" s="559"/>
      <c r="P293" s="12">
        <v>20022</v>
      </c>
      <c r="Q293" s="600" t="s">
        <v>339</v>
      </c>
      <c r="R293" s="601"/>
      <c r="S293" s="601"/>
      <c r="T293" s="601"/>
      <c r="U293" s="602"/>
      <c r="V293" s="754" t="s">
        <v>25</v>
      </c>
      <c r="W293" s="755"/>
      <c r="X293" s="756"/>
      <c r="Y293" s="231" t="s">
        <v>12</v>
      </c>
      <c r="Z293" s="233"/>
    </row>
    <row r="294" spans="2:26" ht="14" customHeight="1" x14ac:dyDescent="0.35">
      <c r="B294" s="560"/>
      <c r="C294" s="14" t="s">
        <v>9</v>
      </c>
      <c r="D294" s="316"/>
      <c r="E294" s="317"/>
      <c r="F294" s="317"/>
      <c r="G294" s="317"/>
      <c r="H294" s="318"/>
      <c r="I294" s="297"/>
      <c r="J294" s="298"/>
      <c r="K294" s="688"/>
      <c r="L294" s="687"/>
      <c r="M294" s="299"/>
      <c r="N294"/>
      <c r="O294" s="560"/>
      <c r="P294" s="14"/>
      <c r="Q294" s="316" t="s">
        <v>318</v>
      </c>
      <c r="R294" s="317"/>
      <c r="S294" s="317"/>
      <c r="T294" s="317"/>
      <c r="U294" s="318"/>
      <c r="V294" s="297" t="s">
        <v>319</v>
      </c>
      <c r="W294" s="298"/>
      <c r="X294" s="299"/>
      <c r="Y294" s="248" t="s">
        <v>12</v>
      </c>
      <c r="Z294" s="250"/>
    </row>
    <row r="295" spans="2:26" ht="14" customHeight="1" x14ac:dyDescent="0.35">
      <c r="B295" s="569">
        <v>123</v>
      </c>
      <c r="C295" s="43">
        <v>328</v>
      </c>
      <c r="D295" s="458" t="s">
        <v>320</v>
      </c>
      <c r="E295" s="459"/>
      <c r="F295" s="459"/>
      <c r="G295" s="459"/>
      <c r="H295" s="460"/>
      <c r="I295" s="262" t="s">
        <v>315</v>
      </c>
      <c r="J295" s="263"/>
      <c r="K295" s="590"/>
      <c r="L295" s="750" t="s">
        <v>308</v>
      </c>
      <c r="M295" s="264"/>
      <c r="N295"/>
      <c r="O295" s="569">
        <v>124</v>
      </c>
      <c r="P295" s="43"/>
      <c r="Q295" s="458" t="s">
        <v>358</v>
      </c>
      <c r="R295" s="459"/>
      <c r="S295" s="459"/>
      <c r="T295" s="459"/>
      <c r="U295" s="460"/>
      <c r="V295" s="262" t="s">
        <v>42</v>
      </c>
      <c r="W295" s="263"/>
      <c r="X295" s="264"/>
      <c r="Y295" s="339" t="s">
        <v>114</v>
      </c>
      <c r="Z295" s="340"/>
    </row>
    <row r="296" spans="2:26" ht="14" customHeight="1" x14ac:dyDescent="0.35">
      <c r="B296" s="570"/>
      <c r="C296" s="47" t="s">
        <v>9</v>
      </c>
      <c r="D296" s="224"/>
      <c r="E296" s="222"/>
      <c r="F296" s="222"/>
      <c r="G296" s="222"/>
      <c r="H296" s="225"/>
      <c r="I296" s="231"/>
      <c r="J296" s="232"/>
      <c r="K296" s="302"/>
      <c r="L296" s="381"/>
      <c r="M296" s="233"/>
      <c r="N296"/>
      <c r="O296" s="570"/>
      <c r="P296" s="47"/>
      <c r="Q296" s="224" t="s">
        <v>565</v>
      </c>
      <c r="R296" s="222"/>
      <c r="S296" s="222"/>
      <c r="T296" s="222"/>
      <c r="U296" s="225"/>
      <c r="V296" s="231" t="s">
        <v>42</v>
      </c>
      <c r="W296" s="232"/>
      <c r="X296" s="233"/>
      <c r="Y296" s="232" t="s">
        <v>114</v>
      </c>
      <c r="Z296" s="233"/>
    </row>
    <row r="297" spans="2:26" ht="14" customHeight="1" x14ac:dyDescent="0.35">
      <c r="B297" s="570"/>
      <c r="C297" s="44">
        <v>235</v>
      </c>
      <c r="D297" s="224" t="s">
        <v>321</v>
      </c>
      <c r="E297" s="222"/>
      <c r="F297" s="222"/>
      <c r="G297" s="222"/>
      <c r="H297" s="225"/>
      <c r="I297" s="231" t="s">
        <v>322</v>
      </c>
      <c r="J297" s="232"/>
      <c r="K297" s="302"/>
      <c r="L297" s="381" t="s">
        <v>308</v>
      </c>
      <c r="M297" s="233"/>
      <c r="N297"/>
      <c r="O297" s="570"/>
      <c r="P297" s="44"/>
      <c r="Q297" s="372" t="s">
        <v>566</v>
      </c>
      <c r="R297" s="373"/>
      <c r="S297" s="373"/>
      <c r="T297" s="373"/>
      <c r="U297" s="374"/>
      <c r="V297" s="231" t="s">
        <v>42</v>
      </c>
      <c r="W297" s="232"/>
      <c r="X297" s="233"/>
      <c r="Y297" s="232" t="s">
        <v>114</v>
      </c>
      <c r="Z297" s="233"/>
    </row>
    <row r="298" spans="2:26" ht="14" customHeight="1" x14ac:dyDescent="0.35">
      <c r="B298" s="571"/>
      <c r="C298" s="61">
        <v>125</v>
      </c>
      <c r="D298" s="351" t="s">
        <v>323</v>
      </c>
      <c r="E298" s="352"/>
      <c r="F298" s="352"/>
      <c r="G298" s="352"/>
      <c r="H298" s="353"/>
      <c r="I298" s="248" t="s">
        <v>307</v>
      </c>
      <c r="J298" s="249"/>
      <c r="K298" s="577"/>
      <c r="L298" s="576" t="s">
        <v>308</v>
      </c>
      <c r="M298" s="250"/>
      <c r="N298"/>
      <c r="O298" s="571"/>
      <c r="P298" s="45"/>
      <c r="Q298" s="725" t="s">
        <v>265</v>
      </c>
      <c r="R298" s="726"/>
      <c r="S298" s="726"/>
      <c r="T298" s="726"/>
      <c r="U298" s="727"/>
      <c r="V298" s="231" t="s">
        <v>42</v>
      </c>
      <c r="W298" s="232"/>
      <c r="X298" s="233"/>
      <c r="Y298" s="232" t="s">
        <v>114</v>
      </c>
      <c r="Z298" s="233"/>
    </row>
    <row r="299" spans="2:26" ht="14" customHeight="1" x14ac:dyDescent="0.35">
      <c r="B299" s="609">
        <v>125</v>
      </c>
      <c r="C299" s="12">
        <v>234</v>
      </c>
      <c r="D299" s="445" t="s">
        <v>324</v>
      </c>
      <c r="E299" s="446"/>
      <c r="F299" s="446"/>
      <c r="G299" s="446"/>
      <c r="H299" s="447"/>
      <c r="I299" s="206" t="s">
        <v>315</v>
      </c>
      <c r="J299" s="207"/>
      <c r="K299" s="598"/>
      <c r="L299" s="668" t="s">
        <v>308</v>
      </c>
      <c r="M299" s="208"/>
      <c r="N299"/>
      <c r="O299" s="559">
        <v>126</v>
      </c>
      <c r="P299" s="12">
        <v>19613</v>
      </c>
      <c r="Q299" s="445" t="s">
        <v>325</v>
      </c>
      <c r="R299" s="446"/>
      <c r="S299" s="446"/>
      <c r="T299" s="446"/>
      <c r="U299" s="447"/>
      <c r="V299" s="206" t="s">
        <v>25</v>
      </c>
      <c r="W299" s="207"/>
      <c r="X299" s="208"/>
      <c r="Y299" s="341" t="s">
        <v>12</v>
      </c>
      <c r="Z299" s="340"/>
    </row>
    <row r="300" spans="2:26" ht="14" customHeight="1" x14ac:dyDescent="0.35">
      <c r="B300" s="559"/>
      <c r="C300" s="13">
        <v>137</v>
      </c>
      <c r="D300" s="303" t="s">
        <v>326</v>
      </c>
      <c r="E300" s="304"/>
      <c r="F300" s="304"/>
      <c r="G300" s="304"/>
      <c r="H300" s="305"/>
      <c r="I300" s="285" t="s">
        <v>327</v>
      </c>
      <c r="J300" s="286"/>
      <c r="K300" s="388"/>
      <c r="L300" s="387" t="s">
        <v>308</v>
      </c>
      <c r="M300" s="287"/>
      <c r="N300"/>
      <c r="O300" s="559"/>
      <c r="P300" s="13" t="s">
        <v>9</v>
      </c>
      <c r="Q300" s="303"/>
      <c r="R300" s="304"/>
      <c r="S300" s="304"/>
      <c r="T300" s="304"/>
      <c r="U300" s="305"/>
      <c r="V300" s="285"/>
      <c r="W300" s="286"/>
      <c r="X300" s="287"/>
      <c r="Y300" s="285"/>
      <c r="Z300" s="287"/>
    </row>
    <row r="301" spans="2:26" ht="14" customHeight="1" x14ac:dyDescent="0.35">
      <c r="B301" s="559"/>
      <c r="C301" s="13">
        <v>130</v>
      </c>
      <c r="D301" s="303" t="s">
        <v>328</v>
      </c>
      <c r="E301" s="304"/>
      <c r="F301" s="304"/>
      <c r="G301" s="304"/>
      <c r="H301" s="305"/>
      <c r="I301" s="285" t="s">
        <v>317</v>
      </c>
      <c r="J301" s="286"/>
      <c r="K301" s="388"/>
      <c r="L301" s="387" t="s">
        <v>308</v>
      </c>
      <c r="M301" s="287"/>
      <c r="N301"/>
      <c r="O301" s="559"/>
      <c r="P301" s="13" t="s">
        <v>9</v>
      </c>
      <c r="Q301" s="303"/>
      <c r="R301" s="304"/>
      <c r="S301" s="304"/>
      <c r="T301" s="304"/>
      <c r="U301" s="305"/>
      <c r="V301" s="285"/>
      <c r="W301" s="286"/>
      <c r="X301" s="287"/>
      <c r="Y301" s="285"/>
      <c r="Z301" s="287"/>
    </row>
    <row r="302" spans="2:26" ht="14" customHeight="1" x14ac:dyDescent="0.35">
      <c r="B302" s="560"/>
      <c r="C302" s="14" t="s">
        <v>9</v>
      </c>
      <c r="D302" s="316"/>
      <c r="E302" s="317"/>
      <c r="F302" s="317"/>
      <c r="G302" s="317"/>
      <c r="H302" s="318"/>
      <c r="I302" s="297"/>
      <c r="J302" s="298"/>
      <c r="K302" s="688"/>
      <c r="L302" s="687"/>
      <c r="M302" s="299"/>
      <c r="N302"/>
      <c r="O302" s="560"/>
      <c r="P302" s="14">
        <v>19933</v>
      </c>
      <c r="Q302" s="610" t="s">
        <v>329</v>
      </c>
      <c r="R302" s="611"/>
      <c r="S302" s="611"/>
      <c r="T302" s="611"/>
      <c r="U302" s="612"/>
      <c r="V302" s="319" t="s">
        <v>25</v>
      </c>
      <c r="W302" s="320"/>
      <c r="X302" s="321"/>
      <c r="Y302" s="248" t="s">
        <v>12</v>
      </c>
      <c r="Z302" s="250"/>
    </row>
    <row r="303" spans="2:26" ht="14" customHeight="1" x14ac:dyDescent="0.35">
      <c r="B303" s="759">
        <v>127</v>
      </c>
      <c r="C303" s="153">
        <v>20016</v>
      </c>
      <c r="D303" s="458" t="s">
        <v>330</v>
      </c>
      <c r="E303" s="459"/>
      <c r="F303" s="459"/>
      <c r="G303" s="459"/>
      <c r="H303" s="460"/>
      <c r="I303" s="262" t="s">
        <v>11</v>
      </c>
      <c r="J303" s="263"/>
      <c r="K303" s="590"/>
      <c r="L303" s="750" t="s">
        <v>12</v>
      </c>
      <c r="M303" s="264"/>
      <c r="N303"/>
      <c r="O303" s="569">
        <v>128</v>
      </c>
      <c r="P303" s="43" t="s">
        <v>9</v>
      </c>
      <c r="Q303" s="458"/>
      <c r="R303" s="459"/>
      <c r="S303" s="459"/>
      <c r="T303" s="459"/>
      <c r="U303" s="460"/>
      <c r="V303" s="262"/>
      <c r="W303" s="263"/>
      <c r="X303" s="264"/>
      <c r="Y303" s="339"/>
      <c r="Z303" s="340"/>
    </row>
    <row r="304" spans="2:26" ht="14" customHeight="1" x14ac:dyDescent="0.35">
      <c r="B304" s="760"/>
      <c r="C304" s="154">
        <v>19956</v>
      </c>
      <c r="D304" s="224" t="s">
        <v>331</v>
      </c>
      <c r="E304" s="222"/>
      <c r="F304" s="222"/>
      <c r="G304" s="222"/>
      <c r="H304" s="225"/>
      <c r="I304" s="231" t="s">
        <v>27</v>
      </c>
      <c r="J304" s="232"/>
      <c r="K304" s="233"/>
      <c r="L304" s="231" t="s">
        <v>12</v>
      </c>
      <c r="M304" s="233"/>
      <c r="O304" s="570"/>
      <c r="P304" s="47"/>
      <c r="Q304" s="224" t="s">
        <v>332</v>
      </c>
      <c r="R304" s="222"/>
      <c r="S304" s="222"/>
      <c r="T304" s="222"/>
      <c r="U304" s="225"/>
      <c r="V304" s="231"/>
      <c r="W304" s="232"/>
      <c r="X304" s="233"/>
      <c r="Y304" s="232" t="s">
        <v>151</v>
      </c>
      <c r="Z304" s="233"/>
    </row>
    <row r="305" spans="2:26" ht="14" customHeight="1" x14ac:dyDescent="0.35">
      <c r="B305" s="760"/>
      <c r="C305" s="154">
        <v>20021</v>
      </c>
      <c r="D305" s="224" t="s">
        <v>333</v>
      </c>
      <c r="E305" s="222"/>
      <c r="F305" s="222"/>
      <c r="G305" s="222"/>
      <c r="H305" s="225"/>
      <c r="I305" s="231" t="s">
        <v>40</v>
      </c>
      <c r="J305" s="232"/>
      <c r="K305" s="302"/>
      <c r="L305" s="381" t="s">
        <v>12</v>
      </c>
      <c r="M305" s="233"/>
      <c r="N305"/>
      <c r="O305" s="570"/>
      <c r="P305" s="155" t="s">
        <v>9</v>
      </c>
      <c r="Q305" s="224"/>
      <c r="R305" s="222"/>
      <c r="S305" s="222"/>
      <c r="T305" s="222"/>
      <c r="U305" s="225"/>
      <c r="V305" s="232"/>
      <c r="W305" s="232"/>
      <c r="X305" s="232"/>
      <c r="Y305" s="231"/>
      <c r="Z305" s="233"/>
    </row>
    <row r="306" spans="2:26" ht="14" customHeight="1" x14ac:dyDescent="0.35">
      <c r="B306" s="761"/>
      <c r="C306" s="45">
        <v>19556</v>
      </c>
      <c r="D306" s="351" t="s">
        <v>403</v>
      </c>
      <c r="E306" s="352"/>
      <c r="F306" s="352"/>
      <c r="G306" s="352"/>
      <c r="H306" s="353"/>
      <c r="I306" s="248" t="s">
        <v>126</v>
      </c>
      <c r="J306" s="249"/>
      <c r="K306" s="250"/>
      <c r="L306" s="757" t="s">
        <v>12</v>
      </c>
      <c r="M306" s="758"/>
      <c r="N306"/>
      <c r="O306" s="571"/>
      <c r="P306" s="45" t="s">
        <v>9</v>
      </c>
      <c r="Q306" s="351"/>
      <c r="R306" s="352"/>
      <c r="S306" s="352"/>
      <c r="T306" s="352"/>
      <c r="U306" s="353"/>
      <c r="V306" s="249"/>
      <c r="W306" s="249"/>
      <c r="X306" s="249"/>
      <c r="Y306" s="248"/>
      <c r="Z306" s="250"/>
    </row>
    <row r="307" spans="2:26" ht="15.75" customHeight="1" x14ac:dyDescent="0.35">
      <c r="N307"/>
      <c r="V307"/>
      <c r="W307"/>
      <c r="X307"/>
    </row>
    <row r="308" spans="2:26" ht="15" thickBot="1" x14ac:dyDescent="0.4"/>
    <row r="309" spans="2:26" ht="14.5" customHeight="1" x14ac:dyDescent="1"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80"/>
    </row>
    <row r="310" spans="2:26" ht="14.5" customHeight="1" x14ac:dyDescent="1"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2"/>
    </row>
    <row r="311" spans="2:26" ht="15" customHeight="1" thickBot="1" x14ac:dyDescent="1.05"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4"/>
    </row>
    <row r="312" spans="2:26" x14ac:dyDescent="0.35">
      <c r="Y312"/>
      <c r="Z312"/>
    </row>
    <row r="314" spans="2:26" x14ac:dyDescent="0.35">
      <c r="B314" s="120"/>
      <c r="C314" s="121"/>
      <c r="D314" s="122"/>
      <c r="E314" s="455" t="s">
        <v>334</v>
      </c>
      <c r="F314" s="274"/>
      <c r="G314" s="274"/>
      <c r="H314" s="274"/>
      <c r="I314" s="274"/>
      <c r="J314" s="274"/>
      <c r="K314" s="274"/>
      <c r="L314" s="274"/>
      <c r="M314" s="274"/>
      <c r="N314" s="762"/>
      <c r="O314" s="762"/>
      <c r="P314" s="762"/>
      <c r="Q314" s="274" t="s">
        <v>335</v>
      </c>
      <c r="R314" s="274"/>
      <c r="S314" s="274"/>
      <c r="T314" s="274"/>
      <c r="U314" s="274"/>
      <c r="V314" s="274"/>
      <c r="W314" s="274"/>
      <c r="X314" s="274"/>
      <c r="Y314" s="274"/>
      <c r="Z314" s="131"/>
    </row>
    <row r="315" spans="2:26" ht="15" customHeight="1" x14ac:dyDescent="0.35">
      <c r="B315" s="123"/>
      <c r="D315" s="124"/>
      <c r="E315" s="456"/>
      <c r="F315" s="276"/>
      <c r="G315" s="276"/>
      <c r="H315" s="276"/>
      <c r="I315" s="276"/>
      <c r="J315" s="276"/>
      <c r="K315" s="276"/>
      <c r="L315" s="276"/>
      <c r="M315" s="276"/>
      <c r="N315" s="762"/>
      <c r="O315" s="762"/>
      <c r="P315" s="762"/>
      <c r="Q315" s="276"/>
      <c r="R315" s="276"/>
      <c r="S315" s="276"/>
      <c r="T315" s="276"/>
      <c r="U315" s="276"/>
      <c r="V315" s="276"/>
      <c r="W315" s="276"/>
      <c r="X315" s="276"/>
      <c r="Y315" s="276"/>
      <c r="Z315" s="132"/>
    </row>
    <row r="316" spans="2:26" ht="15" customHeight="1" x14ac:dyDescent="0.35">
      <c r="B316" s="125"/>
      <c r="C316" s="126"/>
      <c r="D316" s="127"/>
      <c r="E316" s="457"/>
      <c r="F316" s="278"/>
      <c r="G316" s="278"/>
      <c r="H316" s="278"/>
      <c r="I316" s="278"/>
      <c r="J316" s="278"/>
      <c r="K316" s="278"/>
      <c r="L316" s="278"/>
      <c r="M316" s="278"/>
      <c r="N316" s="762"/>
      <c r="O316" s="762"/>
      <c r="P316" s="762"/>
      <c r="Q316" s="278"/>
      <c r="R316" s="278"/>
      <c r="S316" s="278"/>
      <c r="T316" s="278"/>
      <c r="U316" s="278"/>
      <c r="V316" s="278"/>
      <c r="W316" s="278"/>
      <c r="X316" s="278"/>
      <c r="Y316" s="278"/>
      <c r="Z316" s="133"/>
    </row>
    <row r="317" spans="2:26" ht="15" customHeight="1" x14ac:dyDescent="0.35">
      <c r="B317" s="147" t="s">
        <v>4</v>
      </c>
      <c r="C317" s="147" t="s">
        <v>5</v>
      </c>
      <c r="D317" s="280" t="s">
        <v>108</v>
      </c>
      <c r="E317" s="281"/>
      <c r="F317" s="281"/>
      <c r="G317" s="281"/>
      <c r="H317" s="282"/>
      <c r="I317" s="280" t="s">
        <v>7</v>
      </c>
      <c r="J317" s="281"/>
      <c r="K317" s="282"/>
      <c r="L317" s="280" t="s">
        <v>8</v>
      </c>
      <c r="M317" s="281"/>
      <c r="N317" s="150"/>
      <c r="O317" s="145" t="s">
        <v>4</v>
      </c>
      <c r="P317" s="146" t="s">
        <v>5</v>
      </c>
      <c r="Q317" s="916" t="s">
        <v>108</v>
      </c>
      <c r="R317" s="916"/>
      <c r="S317" s="916"/>
      <c r="T317" s="916"/>
      <c r="U317" s="911"/>
      <c r="V317" s="910" t="s">
        <v>7</v>
      </c>
      <c r="W317" s="916"/>
      <c r="X317" s="911"/>
      <c r="Y317" s="910" t="s">
        <v>8</v>
      </c>
      <c r="Z317" s="911"/>
    </row>
    <row r="318" spans="2:26" ht="15.75" customHeight="1" x14ac:dyDescent="0.35">
      <c r="B318" s="559">
        <v>129</v>
      </c>
      <c r="C318" s="13" t="s">
        <v>9</v>
      </c>
      <c r="D318" s="435"/>
      <c r="E318" s="436"/>
      <c r="F318" s="436"/>
      <c r="G318" s="436"/>
      <c r="H318" s="437"/>
      <c r="I318" s="439"/>
      <c r="J318" s="440"/>
      <c r="K318" s="441"/>
      <c r="L318" s="206"/>
      <c r="M318" s="208"/>
      <c r="N318" s="144"/>
      <c r="O318" s="559">
        <v>130</v>
      </c>
      <c r="P318" s="12">
        <v>18769</v>
      </c>
      <c r="Q318" s="445" t="s">
        <v>337</v>
      </c>
      <c r="R318" s="446"/>
      <c r="S318" s="446"/>
      <c r="T318" s="446"/>
      <c r="U318" s="447"/>
      <c r="V318" s="206" t="s">
        <v>25</v>
      </c>
      <c r="W318" s="207"/>
      <c r="X318" s="598"/>
      <c r="Y318" s="438" t="s">
        <v>12</v>
      </c>
      <c r="Z318" s="247"/>
    </row>
    <row r="319" spans="2:26" ht="15.75" customHeight="1" x14ac:dyDescent="0.35">
      <c r="B319" s="559"/>
      <c r="C319" s="13" t="s">
        <v>9</v>
      </c>
      <c r="D319" s="303"/>
      <c r="E319" s="304"/>
      <c r="F319" s="304"/>
      <c r="G319" s="304"/>
      <c r="H319" s="305"/>
      <c r="I319" s="439"/>
      <c r="J319" s="440"/>
      <c r="K319" s="441"/>
      <c r="L319" s="292"/>
      <c r="M319" s="294"/>
      <c r="N319"/>
      <c r="O319" s="559"/>
      <c r="P319" s="13">
        <v>18848</v>
      </c>
      <c r="Q319" s="303" t="s">
        <v>338</v>
      </c>
      <c r="R319" s="304"/>
      <c r="S319" s="304"/>
      <c r="T319" s="304"/>
      <c r="U319" s="305"/>
      <c r="V319" s="285" t="s">
        <v>19</v>
      </c>
      <c r="W319" s="286"/>
      <c r="X319" s="388"/>
      <c r="Y319" s="491" t="s">
        <v>12</v>
      </c>
      <c r="Z319" s="284"/>
    </row>
    <row r="320" spans="2:26" ht="15.75" customHeight="1" x14ac:dyDescent="0.35">
      <c r="B320" s="559"/>
      <c r="C320" s="12" t="s">
        <v>9</v>
      </c>
      <c r="D320" s="600"/>
      <c r="E320" s="601"/>
      <c r="F320" s="601"/>
      <c r="G320" s="601"/>
      <c r="H320" s="602"/>
      <c r="I320" s="754"/>
      <c r="J320" s="755"/>
      <c r="K320" s="756"/>
      <c r="L320" s="285"/>
      <c r="M320" s="287"/>
      <c r="N320"/>
      <c r="O320" s="559"/>
      <c r="P320" s="13" t="s">
        <v>9</v>
      </c>
      <c r="Q320" s="303"/>
      <c r="R320" s="304"/>
      <c r="S320" s="304"/>
      <c r="T320" s="304"/>
      <c r="U320" s="305"/>
      <c r="V320" s="285"/>
      <c r="W320" s="286"/>
      <c r="X320" s="388"/>
      <c r="Y320" s="491"/>
      <c r="Z320" s="284"/>
    </row>
    <row r="321" spans="2:26" ht="15.75" customHeight="1" x14ac:dyDescent="0.35">
      <c r="B321" s="560"/>
      <c r="C321" s="67" t="s">
        <v>9</v>
      </c>
      <c r="D321" s="316"/>
      <c r="E321" s="317"/>
      <c r="F321" s="317"/>
      <c r="G321" s="317"/>
      <c r="H321" s="318"/>
      <c r="I321" s="297"/>
      <c r="J321" s="298"/>
      <c r="K321" s="299"/>
      <c r="L321" s="297"/>
      <c r="M321" s="299"/>
      <c r="N321"/>
      <c r="O321" s="560"/>
      <c r="P321" s="14">
        <v>19803</v>
      </c>
      <c r="Q321" s="316" t="s">
        <v>342</v>
      </c>
      <c r="R321" s="317"/>
      <c r="S321" s="317"/>
      <c r="T321" s="317"/>
      <c r="U321" s="318"/>
      <c r="V321" s="297" t="s">
        <v>19</v>
      </c>
      <c r="W321" s="298"/>
      <c r="X321" s="688"/>
      <c r="Y321" s="561" t="s">
        <v>12</v>
      </c>
      <c r="Z321" s="260"/>
    </row>
    <row r="322" spans="2:26" ht="15.5" x14ac:dyDescent="0.35">
      <c r="B322" s="569">
        <v>131</v>
      </c>
      <c r="C322" s="43" t="s">
        <v>9</v>
      </c>
      <c r="D322" s="458"/>
      <c r="E322" s="459"/>
      <c r="F322" s="459"/>
      <c r="G322" s="459"/>
      <c r="H322" s="460"/>
      <c r="I322" s="262"/>
      <c r="J322" s="263"/>
      <c r="K322" s="590"/>
      <c r="L322" s="750"/>
      <c r="M322" s="264"/>
      <c r="N322"/>
      <c r="O322" s="555">
        <v>132</v>
      </c>
      <c r="P322" s="43" t="s">
        <v>9</v>
      </c>
      <c r="Q322" s="458"/>
      <c r="R322" s="459"/>
      <c r="S322" s="459"/>
      <c r="T322" s="459"/>
      <c r="U322" s="460"/>
      <c r="V322" s="263"/>
      <c r="W322" s="263"/>
      <c r="X322" s="590"/>
      <c r="Y322" s="339"/>
      <c r="Z322" s="340"/>
    </row>
    <row r="323" spans="2:26" ht="15.5" x14ac:dyDescent="0.35">
      <c r="B323" s="570"/>
      <c r="C323" s="47">
        <v>19352</v>
      </c>
      <c r="D323" s="224" t="s">
        <v>343</v>
      </c>
      <c r="E323" s="222"/>
      <c r="F323" s="222"/>
      <c r="G323" s="222"/>
      <c r="H323" s="225"/>
      <c r="I323" s="231" t="s">
        <v>40</v>
      </c>
      <c r="J323" s="232"/>
      <c r="K323" s="302"/>
      <c r="L323" s="381" t="s">
        <v>12</v>
      </c>
      <c r="M323" s="233"/>
      <c r="N323"/>
      <c r="O323" s="556"/>
      <c r="P323" s="47" t="s">
        <v>9</v>
      </c>
      <c r="Q323" s="224"/>
      <c r="R323" s="222"/>
      <c r="S323" s="222"/>
      <c r="T323" s="222"/>
      <c r="U323" s="225"/>
      <c r="V323" s="232"/>
      <c r="W323" s="232"/>
      <c r="X323" s="302"/>
      <c r="Y323" s="232"/>
      <c r="Z323" s="233"/>
    </row>
    <row r="324" spans="2:26" ht="15.5" x14ac:dyDescent="0.35">
      <c r="B324" s="570"/>
      <c r="C324" s="44" t="s">
        <v>9</v>
      </c>
      <c r="D324" s="224"/>
      <c r="E324" s="222"/>
      <c r="F324" s="222"/>
      <c r="G324" s="222"/>
      <c r="H324" s="225"/>
      <c r="I324" s="231"/>
      <c r="J324" s="232"/>
      <c r="K324" s="302"/>
      <c r="L324" s="381"/>
      <c r="M324" s="233"/>
      <c r="N324"/>
      <c r="O324" s="556"/>
      <c r="P324" s="47" t="s">
        <v>9</v>
      </c>
      <c r="Q324" s="773"/>
      <c r="R324" s="676"/>
      <c r="S324" s="676"/>
      <c r="T324" s="676"/>
      <c r="U324" s="774"/>
      <c r="V324" s="370"/>
      <c r="W324" s="370"/>
      <c r="X324" s="371"/>
      <c r="Y324" s="232"/>
      <c r="Z324" s="233"/>
    </row>
    <row r="325" spans="2:26" ht="15.5" x14ac:dyDescent="0.35">
      <c r="B325" s="571"/>
      <c r="C325" s="45" t="s">
        <v>9</v>
      </c>
      <c r="D325" s="351"/>
      <c r="E325" s="352"/>
      <c r="F325" s="352"/>
      <c r="G325" s="352"/>
      <c r="H325" s="353"/>
      <c r="I325" s="912"/>
      <c r="J325" s="582"/>
      <c r="K325" s="583"/>
      <c r="L325" s="248"/>
      <c r="M325" s="250"/>
      <c r="N325"/>
      <c r="O325" s="557"/>
      <c r="P325" s="69" t="s">
        <v>9</v>
      </c>
      <c r="Q325" s="770"/>
      <c r="R325" s="771"/>
      <c r="S325" s="771"/>
      <c r="T325" s="771"/>
      <c r="U325" s="772"/>
      <c r="V325" s="249"/>
      <c r="W325" s="249"/>
      <c r="X325" s="577"/>
      <c r="Y325" s="249"/>
      <c r="Z325" s="250"/>
    </row>
    <row r="326" spans="2:26" ht="15.5" x14ac:dyDescent="0.35">
      <c r="B326" s="559">
        <v>133</v>
      </c>
      <c r="C326" s="159">
        <v>19497</v>
      </c>
      <c r="D326" s="702" t="s">
        <v>344</v>
      </c>
      <c r="E326" s="703"/>
      <c r="F326" s="703"/>
      <c r="G326" s="703"/>
      <c r="H326" s="703"/>
      <c r="I326" s="751" t="s">
        <v>345</v>
      </c>
      <c r="J326" s="752"/>
      <c r="K326" s="753"/>
      <c r="L326" s="263" t="s">
        <v>12</v>
      </c>
      <c r="M326" s="264"/>
      <c r="N326"/>
      <c r="O326" s="559">
        <v>134</v>
      </c>
      <c r="P326" s="70">
        <v>19154</v>
      </c>
      <c r="Q326" s="767" t="s">
        <v>346</v>
      </c>
      <c r="R326" s="768"/>
      <c r="S326" s="768"/>
      <c r="T326" s="768"/>
      <c r="U326" s="769"/>
      <c r="V326" s="285" t="s">
        <v>25</v>
      </c>
      <c r="W326" s="286"/>
      <c r="X326" s="388"/>
      <c r="Y326" s="438" t="s">
        <v>12</v>
      </c>
      <c r="Z326" s="247"/>
    </row>
    <row r="327" spans="2:26" ht="15.5" x14ac:dyDescent="0.35">
      <c r="B327" s="766"/>
      <c r="C327" s="160"/>
      <c r="D327" s="303" t="s">
        <v>347</v>
      </c>
      <c r="E327" s="304"/>
      <c r="F327" s="304"/>
      <c r="G327" s="304"/>
      <c r="H327" s="305"/>
      <c r="I327" s="285" t="s">
        <v>348</v>
      </c>
      <c r="J327" s="286"/>
      <c r="K327" s="388"/>
      <c r="L327" s="286" t="s">
        <v>12</v>
      </c>
      <c r="M327" s="287"/>
      <c r="N327"/>
      <c r="O327" s="559"/>
      <c r="P327" s="13" t="s">
        <v>9</v>
      </c>
      <c r="Q327" s="303"/>
      <c r="R327" s="304"/>
      <c r="S327" s="304"/>
      <c r="T327" s="304"/>
      <c r="U327" s="305"/>
      <c r="V327" s="285"/>
      <c r="W327" s="286"/>
      <c r="X327" s="388"/>
      <c r="Y327" s="286"/>
      <c r="Z327" s="287"/>
    </row>
    <row r="328" spans="2:26" ht="15.5" x14ac:dyDescent="0.35">
      <c r="B328" s="559"/>
      <c r="C328" s="12">
        <v>19411</v>
      </c>
      <c r="D328" s="763" t="s">
        <v>349</v>
      </c>
      <c r="E328" s="764"/>
      <c r="F328" s="764"/>
      <c r="G328" s="764"/>
      <c r="H328" s="765"/>
      <c r="I328" s="292" t="s">
        <v>40</v>
      </c>
      <c r="J328" s="293"/>
      <c r="K328" s="294"/>
      <c r="L328" s="231" t="s">
        <v>12</v>
      </c>
      <c r="M328" s="233"/>
      <c r="N328"/>
      <c r="O328" s="559"/>
      <c r="P328" s="13" t="s">
        <v>9</v>
      </c>
      <c r="Q328" s="303"/>
      <c r="R328" s="304"/>
      <c r="S328" s="304"/>
      <c r="T328" s="304"/>
      <c r="U328" s="305"/>
      <c r="V328" s="285"/>
      <c r="W328" s="286"/>
      <c r="X328" s="388"/>
      <c r="Y328" s="491"/>
      <c r="Z328" s="284"/>
    </row>
    <row r="329" spans="2:26" ht="15.5" x14ac:dyDescent="0.35">
      <c r="B329" s="560"/>
      <c r="C329" s="152"/>
      <c r="D329" s="316"/>
      <c r="E329" s="317"/>
      <c r="F329" s="317"/>
      <c r="G329" s="317"/>
      <c r="H329" s="318"/>
      <c r="I329" s="297"/>
      <c r="J329" s="298"/>
      <c r="K329" s="299"/>
      <c r="L329" s="297"/>
      <c r="M329" s="299"/>
      <c r="N329"/>
      <c r="O329" s="560"/>
      <c r="P329" s="14" t="s">
        <v>9</v>
      </c>
      <c r="Q329" s="316"/>
      <c r="R329" s="317"/>
      <c r="S329" s="317"/>
      <c r="T329" s="317"/>
      <c r="U329" s="318"/>
      <c r="V329" s="297"/>
      <c r="W329" s="298"/>
      <c r="X329" s="688"/>
      <c r="Y329" s="561"/>
      <c r="Z329" s="260"/>
    </row>
    <row r="330" spans="2:26" ht="15.5" x14ac:dyDescent="0.35">
      <c r="B330" s="569">
        <v>135</v>
      </c>
      <c r="C330" s="43" t="s">
        <v>9</v>
      </c>
      <c r="D330" s="458"/>
      <c r="E330" s="459"/>
      <c r="F330" s="459"/>
      <c r="G330" s="459"/>
      <c r="H330" s="460"/>
      <c r="I330" s="262"/>
      <c r="J330" s="263"/>
      <c r="K330" s="590"/>
      <c r="L330" s="750"/>
      <c r="M330" s="264"/>
      <c r="N330"/>
      <c r="O330" s="569">
        <v>136</v>
      </c>
      <c r="P330" s="177" t="s">
        <v>9</v>
      </c>
      <c r="Q330" s="913"/>
      <c r="R330" s="914"/>
      <c r="S330" s="914"/>
      <c r="T330" s="914"/>
      <c r="U330" s="915"/>
      <c r="V330" s="263"/>
      <c r="W330" s="263"/>
      <c r="X330" s="590"/>
      <c r="Y330" s="339"/>
      <c r="Z330" s="340"/>
    </row>
    <row r="331" spans="2:26" ht="15.65" customHeight="1" x14ac:dyDescent="0.35">
      <c r="B331" s="570"/>
      <c r="C331" s="47">
        <v>20351.8</v>
      </c>
      <c r="D331" s="224" t="s">
        <v>350</v>
      </c>
      <c r="E331" s="222"/>
      <c r="F331" s="222"/>
      <c r="G331" s="222"/>
      <c r="H331" s="225"/>
      <c r="I331" s="231" t="s">
        <v>40</v>
      </c>
      <c r="J331" s="232"/>
      <c r="K331" s="302"/>
      <c r="L331" s="381" t="s">
        <v>12</v>
      </c>
      <c r="M331" s="233"/>
      <c r="N331"/>
      <c r="O331" s="570"/>
      <c r="P331" s="47" t="s">
        <v>9</v>
      </c>
      <c r="Q331" s="224"/>
      <c r="R331" s="222"/>
      <c r="S331" s="222"/>
      <c r="T331" s="222"/>
      <c r="U331" s="225"/>
      <c r="V331" s="232"/>
      <c r="W331" s="232"/>
      <c r="X331" s="302"/>
      <c r="Y331" s="232"/>
      <c r="Z331" s="233"/>
    </row>
    <row r="332" spans="2:26" ht="15.5" x14ac:dyDescent="0.35">
      <c r="B332" s="570"/>
      <c r="C332" s="44">
        <v>20613.099999999999</v>
      </c>
      <c r="D332" s="224" t="s">
        <v>351</v>
      </c>
      <c r="E332" s="222"/>
      <c r="F332" s="222"/>
      <c r="G332" s="222"/>
      <c r="H332" s="225"/>
      <c r="I332" s="231" t="s">
        <v>19</v>
      </c>
      <c r="J332" s="232"/>
      <c r="K332" s="233"/>
      <c r="L332" s="231" t="s">
        <v>12</v>
      </c>
      <c r="M332" s="233"/>
      <c r="N332"/>
      <c r="O332" s="570"/>
      <c r="P332" s="68" t="s">
        <v>9</v>
      </c>
      <c r="Q332" s="224"/>
      <c r="R332" s="222"/>
      <c r="S332" s="222"/>
      <c r="T332" s="222"/>
      <c r="U332" s="225"/>
      <c r="V332" s="232"/>
      <c r="W332" s="232"/>
      <c r="X332" s="302"/>
      <c r="Y332" s="232"/>
      <c r="Z332" s="233"/>
    </row>
    <row r="333" spans="2:26" ht="15.65" customHeight="1" x14ac:dyDescent="0.35">
      <c r="B333" s="571"/>
      <c r="C333" s="45"/>
      <c r="D333" s="351"/>
      <c r="E333" s="352"/>
      <c r="F333" s="352"/>
      <c r="G333" s="352"/>
      <c r="H333" s="353"/>
      <c r="I333" s="248"/>
      <c r="J333" s="249"/>
      <c r="K333" s="250"/>
      <c r="L333" s="248"/>
      <c r="M333" s="250"/>
      <c r="N333"/>
      <c r="O333" s="571"/>
      <c r="P333" s="45" t="s">
        <v>9</v>
      </c>
      <c r="Q333" s="351"/>
      <c r="R333" s="352"/>
      <c r="S333" s="352"/>
      <c r="T333" s="352"/>
      <c r="U333" s="353"/>
      <c r="V333" s="249"/>
      <c r="W333" s="249"/>
      <c r="X333" s="577"/>
      <c r="Y333" s="249"/>
      <c r="Z333" s="250"/>
    </row>
    <row r="334" spans="2:26" ht="15.5" x14ac:dyDescent="0.35">
      <c r="B334" s="559">
        <v>137</v>
      </c>
      <c r="C334" s="12" t="s">
        <v>9</v>
      </c>
      <c r="D334" s="445"/>
      <c r="E334" s="446"/>
      <c r="F334" s="446"/>
      <c r="G334" s="446"/>
      <c r="H334" s="447"/>
      <c r="I334" s="206"/>
      <c r="J334" s="207"/>
      <c r="K334" s="208"/>
      <c r="L334" s="206"/>
      <c r="M334" s="208"/>
      <c r="N334"/>
      <c r="O334" s="609">
        <v>138</v>
      </c>
      <c r="P334" s="12"/>
      <c r="Q334" s="445"/>
      <c r="R334" s="446"/>
      <c r="S334" s="446"/>
      <c r="T334" s="446"/>
      <c r="U334" s="447"/>
      <c r="V334" s="206"/>
      <c r="W334" s="207"/>
      <c r="X334" s="598"/>
      <c r="Y334" s="438"/>
      <c r="Z334" s="247"/>
    </row>
    <row r="335" spans="2:26" ht="15.65" customHeight="1" x14ac:dyDescent="0.35">
      <c r="B335" s="559"/>
      <c r="C335" s="13" t="s">
        <v>9</v>
      </c>
      <c r="D335" s="303"/>
      <c r="E335" s="304"/>
      <c r="F335" s="304"/>
      <c r="G335" s="304"/>
      <c r="H335" s="305"/>
      <c r="I335" s="285"/>
      <c r="J335" s="286"/>
      <c r="K335" s="287"/>
      <c r="L335" s="285"/>
      <c r="M335" s="287"/>
      <c r="N335"/>
      <c r="O335" s="559"/>
      <c r="P335" s="13"/>
      <c r="Q335" s="303" t="s">
        <v>355</v>
      </c>
      <c r="R335" s="304"/>
      <c r="S335" s="304"/>
      <c r="T335" s="304"/>
      <c r="U335" s="305"/>
      <c r="V335" s="285" t="s">
        <v>42</v>
      </c>
      <c r="W335" s="286"/>
      <c r="X335" s="388"/>
      <c r="Y335" s="286" t="s">
        <v>43</v>
      </c>
      <c r="Z335" s="287"/>
    </row>
    <row r="336" spans="2:26" ht="15.5" x14ac:dyDescent="0.35">
      <c r="B336" s="559"/>
      <c r="C336" s="13" t="s">
        <v>9</v>
      </c>
      <c r="D336" s="303"/>
      <c r="E336" s="304"/>
      <c r="F336" s="304"/>
      <c r="G336" s="304"/>
      <c r="H336" s="305"/>
      <c r="I336" s="285"/>
      <c r="J336" s="286"/>
      <c r="K336" s="287"/>
      <c r="L336" s="285"/>
      <c r="M336" s="287"/>
      <c r="N336"/>
      <c r="O336" s="559"/>
      <c r="P336" s="13"/>
      <c r="Q336" s="303" t="s">
        <v>358</v>
      </c>
      <c r="R336" s="304"/>
      <c r="S336" s="304"/>
      <c r="T336" s="304"/>
      <c r="U336" s="305"/>
      <c r="V336" s="285" t="s">
        <v>42</v>
      </c>
      <c r="W336" s="286"/>
      <c r="X336" s="388"/>
      <c r="Y336" s="286" t="s">
        <v>43</v>
      </c>
      <c r="Z336" s="287"/>
    </row>
    <row r="337" spans="2:26" ht="15.5" x14ac:dyDescent="0.35">
      <c r="B337" s="560"/>
      <c r="C337" s="14" t="s">
        <v>9</v>
      </c>
      <c r="D337" s="316"/>
      <c r="E337" s="317"/>
      <c r="F337" s="317"/>
      <c r="G337" s="317"/>
      <c r="H337" s="318"/>
      <c r="I337" s="297"/>
      <c r="J337" s="298"/>
      <c r="K337" s="299"/>
      <c r="L337" s="297"/>
      <c r="M337" s="299"/>
      <c r="N337"/>
      <c r="O337" s="560"/>
      <c r="P337" s="14" t="s">
        <v>9</v>
      </c>
      <c r="Q337" s="316"/>
      <c r="R337" s="317"/>
      <c r="S337" s="317"/>
      <c r="T337" s="317"/>
      <c r="U337" s="318"/>
      <c r="V337" s="297"/>
      <c r="W337" s="298"/>
      <c r="X337" s="688"/>
      <c r="Y337" s="298"/>
      <c r="Z337" s="299"/>
    </row>
    <row r="338" spans="2:26" ht="15.5" x14ac:dyDescent="0.35">
      <c r="B338" s="569">
        <v>139</v>
      </c>
      <c r="C338" s="43">
        <v>19541</v>
      </c>
      <c r="D338" s="458" t="s">
        <v>360</v>
      </c>
      <c r="E338" s="459"/>
      <c r="F338" s="459"/>
      <c r="G338" s="459"/>
      <c r="H338" s="460"/>
      <c r="I338" s="262" t="s">
        <v>361</v>
      </c>
      <c r="J338" s="263"/>
      <c r="K338" s="590"/>
      <c r="L338" s="750" t="s">
        <v>12</v>
      </c>
      <c r="M338" s="264"/>
      <c r="N338"/>
      <c r="O338" s="555">
        <v>140</v>
      </c>
      <c r="P338" s="43" t="s">
        <v>9</v>
      </c>
      <c r="Q338" s="224"/>
      <c r="R338" s="222"/>
      <c r="S338" s="222"/>
      <c r="T338" s="222"/>
      <c r="U338" s="225"/>
      <c r="V338" s="263"/>
      <c r="W338" s="263"/>
      <c r="X338" s="590"/>
      <c r="Y338" s="339"/>
      <c r="Z338" s="340"/>
    </row>
    <row r="339" spans="2:26" ht="15.5" x14ac:dyDescent="0.35">
      <c r="B339" s="570"/>
      <c r="C339" s="47" t="s">
        <v>9</v>
      </c>
      <c r="D339" s="224"/>
      <c r="E339" s="222"/>
      <c r="F339" s="222"/>
      <c r="G339" s="222"/>
      <c r="H339" s="225"/>
      <c r="I339" s="231"/>
      <c r="J339" s="232"/>
      <c r="K339" s="233"/>
      <c r="L339" s="231"/>
      <c r="M339" s="233"/>
      <c r="N339"/>
      <c r="O339" s="556"/>
      <c r="P339" s="47" t="s">
        <v>9</v>
      </c>
      <c r="Q339" s="224"/>
      <c r="R339" s="222"/>
      <c r="S339" s="222"/>
      <c r="T339" s="222"/>
      <c r="U339" s="225"/>
      <c r="V339" s="232"/>
      <c r="W339" s="232"/>
      <c r="X339" s="302"/>
      <c r="Y339" s="232"/>
      <c r="Z339" s="233"/>
    </row>
    <row r="340" spans="2:26" ht="15.5" x14ac:dyDescent="0.35">
      <c r="B340" s="570"/>
      <c r="C340" s="44" t="s">
        <v>9</v>
      </c>
      <c r="D340" s="224"/>
      <c r="E340" s="222"/>
      <c r="F340" s="222"/>
      <c r="G340" s="222"/>
      <c r="H340" s="225"/>
      <c r="I340" s="231"/>
      <c r="J340" s="232"/>
      <c r="K340" s="233"/>
      <c r="L340" s="231"/>
      <c r="M340" s="233"/>
      <c r="N340"/>
      <c r="O340" s="556"/>
      <c r="P340" s="44" t="s">
        <v>9</v>
      </c>
      <c r="Q340" s="814"/>
      <c r="R340" s="815"/>
      <c r="S340" s="815"/>
      <c r="T340" s="815"/>
      <c r="U340" s="816"/>
      <c r="V340" s="232"/>
      <c r="W340" s="232"/>
      <c r="X340" s="302"/>
      <c r="Y340" s="232"/>
      <c r="Z340" s="233"/>
    </row>
    <row r="341" spans="2:26" ht="15.5" x14ac:dyDescent="0.35">
      <c r="B341" s="571"/>
      <c r="C341" s="45" t="s">
        <v>9</v>
      </c>
      <c r="D341" s="351"/>
      <c r="E341" s="352"/>
      <c r="F341" s="352"/>
      <c r="G341" s="352"/>
      <c r="H341" s="353"/>
      <c r="I341" s="248"/>
      <c r="J341" s="249"/>
      <c r="K341" s="250"/>
      <c r="L341" s="248"/>
      <c r="M341" s="250"/>
      <c r="N341"/>
      <c r="O341" s="557"/>
      <c r="P341" s="45" t="s">
        <v>9</v>
      </c>
      <c r="Q341" s="351"/>
      <c r="R341" s="352"/>
      <c r="S341" s="352"/>
      <c r="T341" s="352"/>
      <c r="U341" s="353"/>
      <c r="V341" s="249"/>
      <c r="W341" s="249"/>
      <c r="X341" s="577"/>
      <c r="Y341" s="249"/>
      <c r="Z341" s="250"/>
    </row>
    <row r="342" spans="2:26" ht="15.5" x14ac:dyDescent="0.35">
      <c r="B342" s="559">
        <v>141</v>
      </c>
      <c r="C342" s="130" t="s">
        <v>9</v>
      </c>
      <c r="D342" s="445"/>
      <c r="E342" s="446"/>
      <c r="F342" s="446"/>
      <c r="G342" s="446"/>
      <c r="H342" s="447"/>
      <c r="I342" s="206"/>
      <c r="J342" s="207"/>
      <c r="K342" s="208"/>
      <c r="L342" s="206"/>
      <c r="M342" s="208"/>
      <c r="N342"/>
      <c r="O342" s="559">
        <v>142</v>
      </c>
      <c r="P342" s="11" t="s">
        <v>9</v>
      </c>
      <c r="Q342" s="794"/>
      <c r="R342" s="693"/>
      <c r="S342" s="693"/>
      <c r="T342" s="693"/>
      <c r="U342" s="795"/>
      <c r="V342" s="207"/>
      <c r="W342" s="207"/>
      <c r="X342" s="598"/>
      <c r="Y342" s="438"/>
      <c r="Z342" s="247"/>
    </row>
    <row r="343" spans="2:26" ht="15.5" x14ac:dyDescent="0.35">
      <c r="B343" s="559"/>
      <c r="C343" s="67" t="s">
        <v>363</v>
      </c>
      <c r="D343" s="303" t="s">
        <v>364</v>
      </c>
      <c r="E343" s="304"/>
      <c r="F343" s="304"/>
      <c r="G343" s="304"/>
      <c r="H343" s="305"/>
      <c r="I343" s="285" t="s">
        <v>11</v>
      </c>
      <c r="J343" s="286"/>
      <c r="K343" s="287"/>
      <c r="L343" s="285" t="s">
        <v>12</v>
      </c>
      <c r="M343" s="287"/>
      <c r="N343"/>
      <c r="O343" s="559"/>
      <c r="P343" s="13" t="s">
        <v>9</v>
      </c>
      <c r="Q343" s="788"/>
      <c r="R343" s="789"/>
      <c r="S343" s="789"/>
      <c r="T343" s="789"/>
      <c r="U343" s="790"/>
      <c r="V343" s="286"/>
      <c r="W343" s="286"/>
      <c r="X343" s="388"/>
      <c r="Y343" s="286"/>
      <c r="Z343" s="287"/>
    </row>
    <row r="344" spans="2:26" ht="15.5" x14ac:dyDescent="0.35">
      <c r="B344" s="559"/>
      <c r="C344" s="13">
        <v>19239</v>
      </c>
      <c r="D344" s="303" t="s">
        <v>365</v>
      </c>
      <c r="E344" s="304"/>
      <c r="F344" s="304"/>
      <c r="G344" s="304"/>
      <c r="H344" s="305"/>
      <c r="I344" s="285" t="s">
        <v>366</v>
      </c>
      <c r="J344" s="286"/>
      <c r="K344" s="287"/>
      <c r="L344" s="285" t="s">
        <v>12</v>
      </c>
      <c r="M344" s="287"/>
      <c r="N344"/>
      <c r="O344" s="559"/>
      <c r="P344" s="13" t="s">
        <v>9</v>
      </c>
      <c r="Q344" s="788"/>
      <c r="R344" s="789"/>
      <c r="S344" s="789"/>
      <c r="T344" s="789"/>
      <c r="U344" s="790"/>
      <c r="V344" s="286"/>
      <c r="W344" s="286"/>
      <c r="X344" s="388"/>
      <c r="Y344" s="286"/>
      <c r="Z344" s="287"/>
    </row>
    <row r="345" spans="2:26" ht="15.5" x14ac:dyDescent="0.35">
      <c r="B345" s="560"/>
      <c r="C345" s="130" t="s">
        <v>9</v>
      </c>
      <c r="D345" s="316"/>
      <c r="E345" s="317"/>
      <c r="F345" s="317"/>
      <c r="G345" s="317"/>
      <c r="H345" s="318"/>
      <c r="I345" s="297"/>
      <c r="J345" s="298"/>
      <c r="K345" s="299"/>
      <c r="L345" s="297"/>
      <c r="M345" s="299"/>
      <c r="N345"/>
      <c r="O345" s="560"/>
      <c r="P345" s="14" t="s">
        <v>9</v>
      </c>
      <c r="Q345" s="791"/>
      <c r="R345" s="792"/>
      <c r="S345" s="792"/>
      <c r="T345" s="792"/>
      <c r="U345" s="793"/>
      <c r="V345" s="298"/>
      <c r="W345" s="298"/>
      <c r="X345" s="688"/>
      <c r="Y345" s="298"/>
      <c r="Z345" s="299"/>
    </row>
    <row r="346" spans="2:26" ht="15.5" x14ac:dyDescent="0.35">
      <c r="B346" s="569">
        <v>143</v>
      </c>
      <c r="C346" s="43"/>
      <c r="D346" s="631"/>
      <c r="E346" s="632"/>
      <c r="F346" s="632"/>
      <c r="G346" s="632"/>
      <c r="H346" s="778"/>
      <c r="I346" s="550"/>
      <c r="J346" s="550"/>
      <c r="K346" s="551"/>
      <c r="L346" s="550"/>
      <c r="M346" s="551"/>
      <c r="N346"/>
      <c r="O346" s="569">
        <v>144</v>
      </c>
      <c r="P346" s="43">
        <v>19019</v>
      </c>
      <c r="Q346" s="372" t="s">
        <v>284</v>
      </c>
      <c r="R346" s="373"/>
      <c r="S346" s="373"/>
      <c r="T346" s="373"/>
      <c r="U346" s="374"/>
      <c r="V346" s="263" t="s">
        <v>19</v>
      </c>
      <c r="W346" s="263"/>
      <c r="X346" s="590"/>
      <c r="Y346" s="339" t="s">
        <v>12</v>
      </c>
      <c r="Z346" s="340"/>
    </row>
    <row r="347" spans="2:26" ht="15.5" x14ac:dyDescent="0.35">
      <c r="B347" s="570"/>
      <c r="C347" s="158">
        <v>14</v>
      </c>
      <c r="D347" s="630" t="s">
        <v>367</v>
      </c>
      <c r="E347" s="630"/>
      <c r="F347" s="630"/>
      <c r="G347" s="630"/>
      <c r="H347" s="733"/>
      <c r="I347" s="548" t="s">
        <v>368</v>
      </c>
      <c r="J347" s="548"/>
      <c r="K347" s="549"/>
      <c r="L347" s="548" t="s">
        <v>43</v>
      </c>
      <c r="M347" s="549"/>
      <c r="N347"/>
      <c r="O347" s="570"/>
      <c r="P347" s="69" t="s">
        <v>9</v>
      </c>
      <c r="Q347" s="558"/>
      <c r="R347" s="501"/>
      <c r="S347" s="501"/>
      <c r="T347" s="501"/>
      <c r="U347" s="502"/>
      <c r="V347" s="232"/>
      <c r="W347" s="232"/>
      <c r="X347" s="302"/>
      <c r="Y347" s="232"/>
      <c r="Z347" s="233"/>
    </row>
    <row r="348" spans="2:26" ht="15.5" x14ac:dyDescent="0.35">
      <c r="B348" s="570"/>
      <c r="C348" s="44">
        <v>15</v>
      </c>
      <c r="D348" s="629" t="s">
        <v>369</v>
      </c>
      <c r="E348" s="630"/>
      <c r="F348" s="630"/>
      <c r="G348" s="630"/>
      <c r="H348" s="733"/>
      <c r="I348" s="548" t="s">
        <v>368</v>
      </c>
      <c r="J348" s="548"/>
      <c r="K348" s="549"/>
      <c r="L348" s="548" t="s">
        <v>43</v>
      </c>
      <c r="M348" s="549"/>
      <c r="N348"/>
      <c r="O348" s="760"/>
      <c r="P348" s="167" t="s">
        <v>9</v>
      </c>
      <c r="Q348" s="843"/>
      <c r="R348" s="497"/>
      <c r="S348" s="497"/>
      <c r="T348" s="497"/>
      <c r="U348" s="589"/>
      <c r="V348" s="232"/>
      <c r="W348" s="232"/>
      <c r="X348" s="302"/>
      <c r="Y348" s="232"/>
      <c r="Z348" s="233"/>
    </row>
    <row r="349" spans="2:26" ht="15.5" x14ac:dyDescent="0.35">
      <c r="B349" s="571"/>
      <c r="C349" s="45"/>
      <c r="D349" s="719"/>
      <c r="E349" s="720"/>
      <c r="F349" s="720"/>
      <c r="G349" s="720"/>
      <c r="H349" s="721"/>
      <c r="I349" s="919"/>
      <c r="J349" s="919"/>
      <c r="K349" s="920"/>
      <c r="L349" s="919"/>
      <c r="M349" s="920"/>
      <c r="N349"/>
      <c r="O349" s="571"/>
      <c r="P349" s="61"/>
      <c r="Q349" s="375"/>
      <c r="R349" s="376"/>
      <c r="S349" s="376"/>
      <c r="T349" s="376"/>
      <c r="U349" s="377"/>
      <c r="V349" s="249"/>
      <c r="W349" s="249"/>
      <c r="X349" s="577"/>
      <c r="Y349" s="249"/>
      <c r="Z349" s="250"/>
    </row>
    <row r="350" spans="2:26" ht="15.5" x14ac:dyDescent="0.35">
      <c r="B350" s="559">
        <v>145</v>
      </c>
      <c r="C350" s="12" t="s">
        <v>9</v>
      </c>
      <c r="D350" s="445"/>
      <c r="E350" s="446"/>
      <c r="F350" s="446"/>
      <c r="G350" s="446"/>
      <c r="H350" s="447"/>
      <c r="I350" s="206"/>
      <c r="J350" s="207"/>
      <c r="K350" s="208"/>
      <c r="L350" s="206"/>
      <c r="M350" s="208"/>
      <c r="N350"/>
      <c r="O350" s="559">
        <v>146</v>
      </c>
      <c r="P350" s="12" t="s">
        <v>9</v>
      </c>
      <c r="Q350" s="303"/>
      <c r="R350" s="304"/>
      <c r="S350" s="304"/>
      <c r="T350" s="304"/>
      <c r="U350" s="305"/>
      <c r="V350" s="285"/>
      <c r="W350" s="286"/>
      <c r="X350" s="388"/>
      <c r="Y350" s="438"/>
      <c r="Z350" s="247"/>
    </row>
    <row r="351" spans="2:26" ht="15.5" x14ac:dyDescent="0.35">
      <c r="B351" s="559"/>
      <c r="C351" s="13" t="s">
        <v>9</v>
      </c>
      <c r="D351" s="303"/>
      <c r="E351" s="304"/>
      <c r="F351" s="304"/>
      <c r="G351" s="304"/>
      <c r="H351" s="305"/>
      <c r="I351" s="285"/>
      <c r="J351" s="286"/>
      <c r="K351" s="287"/>
      <c r="L351" s="285"/>
      <c r="M351" s="287"/>
      <c r="N351"/>
      <c r="O351" s="559"/>
      <c r="P351" s="13" t="s">
        <v>9</v>
      </c>
      <c r="Q351" s="303"/>
      <c r="R351" s="304"/>
      <c r="S351" s="304"/>
      <c r="T351" s="304"/>
      <c r="U351" s="305"/>
      <c r="V351" s="285"/>
      <c r="W351" s="286"/>
      <c r="X351" s="388"/>
      <c r="Y351" s="286"/>
      <c r="Z351" s="287"/>
    </row>
    <row r="352" spans="2:26" ht="15.65" customHeight="1" x14ac:dyDescent="0.35">
      <c r="B352" s="559"/>
      <c r="C352" s="152">
        <v>19870</v>
      </c>
      <c r="D352" s="303" t="s">
        <v>370</v>
      </c>
      <c r="E352" s="304"/>
      <c r="F352" s="304"/>
      <c r="G352" s="304"/>
      <c r="H352" s="305"/>
      <c r="I352" s="285" t="s">
        <v>182</v>
      </c>
      <c r="J352" s="286"/>
      <c r="K352" s="287"/>
      <c r="L352" s="231" t="s">
        <v>12</v>
      </c>
      <c r="M352" s="233"/>
      <c r="N352"/>
      <c r="O352" s="559"/>
      <c r="P352" s="13" t="s">
        <v>9</v>
      </c>
      <c r="Q352" s="303"/>
      <c r="R352" s="304"/>
      <c r="S352" s="304"/>
      <c r="T352" s="304"/>
      <c r="U352" s="305"/>
      <c r="V352" s="285"/>
      <c r="W352" s="286"/>
      <c r="X352" s="388"/>
      <c r="Y352" s="286"/>
      <c r="Z352" s="287"/>
    </row>
    <row r="353" spans="2:26" ht="15.5" x14ac:dyDescent="0.35">
      <c r="B353" s="560"/>
      <c r="C353" s="14" t="s">
        <v>9</v>
      </c>
      <c r="D353" s="780"/>
      <c r="E353" s="781"/>
      <c r="F353" s="781"/>
      <c r="G353" s="781"/>
      <c r="H353" s="782"/>
      <c r="I353" s="297"/>
      <c r="J353" s="298"/>
      <c r="K353" s="299"/>
      <c r="L353" s="297"/>
      <c r="M353" s="299"/>
      <c r="N353"/>
      <c r="O353" s="560"/>
      <c r="P353" s="157" t="s">
        <v>9</v>
      </c>
      <c r="Q353" s="316"/>
      <c r="R353" s="317"/>
      <c r="S353" s="317"/>
      <c r="T353" s="317"/>
      <c r="U353" s="318"/>
      <c r="V353" s="297"/>
      <c r="W353" s="298"/>
      <c r="X353" s="688"/>
      <c r="Y353" s="298"/>
      <c r="Z353" s="299"/>
    </row>
    <row r="354" spans="2:26" ht="15.5" x14ac:dyDescent="0.35">
      <c r="B354" s="569">
        <v>147</v>
      </c>
      <c r="C354" s="43" t="s">
        <v>9</v>
      </c>
      <c r="D354" s="458"/>
      <c r="E354" s="459"/>
      <c r="F354" s="459"/>
      <c r="G354" s="459"/>
      <c r="H354" s="460"/>
      <c r="I354" s="262"/>
      <c r="J354" s="263"/>
      <c r="K354" s="590"/>
      <c r="L354" s="750"/>
      <c r="M354" s="264"/>
      <c r="N354"/>
      <c r="O354" s="555">
        <v>148</v>
      </c>
      <c r="P354" s="69" t="s">
        <v>9</v>
      </c>
      <c r="Q354" s="500"/>
      <c r="R354" s="501"/>
      <c r="S354" s="501"/>
      <c r="T354" s="501"/>
      <c r="U354" s="501"/>
      <c r="V354" s="779"/>
      <c r="W354" s="504"/>
      <c r="X354" s="599"/>
      <c r="Y354" s="339"/>
      <c r="Z354" s="340"/>
    </row>
    <row r="355" spans="2:26" ht="15.65" customHeight="1" x14ac:dyDescent="0.35">
      <c r="B355" s="570"/>
      <c r="C355" s="44">
        <v>19116</v>
      </c>
      <c r="D355" s="423" t="s">
        <v>374</v>
      </c>
      <c r="E355" s="424"/>
      <c r="F355" s="424"/>
      <c r="G355" s="424"/>
      <c r="H355" s="425"/>
      <c r="I355" s="268" t="s">
        <v>19</v>
      </c>
      <c r="J355" s="269"/>
      <c r="K355" s="270"/>
      <c r="L355" s="498" t="s">
        <v>12</v>
      </c>
      <c r="M355" s="499"/>
      <c r="N355"/>
      <c r="O355" s="556"/>
      <c r="P355" s="44" t="s">
        <v>9</v>
      </c>
      <c r="Q355" s="224"/>
      <c r="R355" s="222"/>
      <c r="S355" s="222"/>
      <c r="T355" s="222"/>
      <c r="U355" s="225"/>
      <c r="V355" s="231"/>
      <c r="W355" s="232"/>
      <c r="X355" s="233"/>
      <c r="Y355" s="261"/>
      <c r="Z355" s="227"/>
    </row>
    <row r="356" spans="2:26" ht="15.5" x14ac:dyDescent="0.35">
      <c r="B356" s="570"/>
      <c r="C356" s="44" t="s">
        <v>9</v>
      </c>
      <c r="D356" s="224"/>
      <c r="E356" s="222"/>
      <c r="F356" s="222"/>
      <c r="G356" s="222"/>
      <c r="H356" s="225"/>
      <c r="I356" s="231"/>
      <c r="J356" s="232"/>
      <c r="K356" s="302"/>
      <c r="L356" s="381"/>
      <c r="M356" s="233"/>
      <c r="N356"/>
      <c r="O356" s="556"/>
      <c r="P356" s="44" t="s">
        <v>9</v>
      </c>
      <c r="Q356" s="224"/>
      <c r="R356" s="222"/>
      <c r="S356" s="222"/>
      <c r="T356" s="222"/>
      <c r="U356" s="225"/>
      <c r="V356" s="231"/>
      <c r="W356" s="232"/>
      <c r="X356" s="233"/>
      <c r="Y356" s="261"/>
      <c r="Z356" s="227"/>
    </row>
    <row r="357" spans="2:26" ht="15.5" x14ac:dyDescent="0.35">
      <c r="B357" s="571"/>
      <c r="C357" s="45">
        <v>432</v>
      </c>
      <c r="D357" s="824" t="s">
        <v>377</v>
      </c>
      <c r="E357" s="825"/>
      <c r="F357" s="825"/>
      <c r="G357" s="825"/>
      <c r="H357" s="826"/>
      <c r="I357" s="783" t="s">
        <v>378</v>
      </c>
      <c r="J357" s="784"/>
      <c r="K357" s="785"/>
      <c r="L357" s="256" t="s">
        <v>379</v>
      </c>
      <c r="M357" s="258"/>
      <c r="N357"/>
      <c r="O357" s="557"/>
      <c r="P357" s="45" t="s">
        <v>9</v>
      </c>
      <c r="Q357" s="351"/>
      <c r="R357" s="352"/>
      <c r="S357" s="352"/>
      <c r="T357" s="352"/>
      <c r="U357" s="353"/>
      <c r="V357" s="249"/>
      <c r="W357" s="249"/>
      <c r="X357" s="577"/>
      <c r="Y357" s="490"/>
      <c r="Z357" s="347"/>
    </row>
    <row r="358" spans="2:26" ht="15.5" x14ac:dyDescent="0.35">
      <c r="B358" s="559">
        <v>149</v>
      </c>
      <c r="C358" s="13" t="s">
        <v>9</v>
      </c>
      <c r="D358" s="775"/>
      <c r="E358" s="776"/>
      <c r="F358" s="776"/>
      <c r="G358" s="776"/>
      <c r="H358" s="777"/>
      <c r="I358" s="754"/>
      <c r="J358" s="755"/>
      <c r="K358" s="756"/>
      <c r="L358" s="206"/>
      <c r="M358" s="208"/>
      <c r="N358"/>
      <c r="O358" s="559">
        <v>150</v>
      </c>
      <c r="P358" s="11" t="s">
        <v>9</v>
      </c>
      <c r="Q358" s="833"/>
      <c r="R358" s="834"/>
      <c r="S358" s="834"/>
      <c r="T358" s="834"/>
      <c r="U358" s="835"/>
      <c r="V358" s="821"/>
      <c r="W358" s="822"/>
      <c r="X358" s="823"/>
      <c r="Y358" s="839"/>
      <c r="Z358" s="840"/>
    </row>
    <row r="359" spans="2:26" ht="15.5" x14ac:dyDescent="0.35">
      <c r="B359" s="559"/>
      <c r="C359" s="13">
        <v>19245</v>
      </c>
      <c r="D359" s="303" t="s">
        <v>381</v>
      </c>
      <c r="E359" s="304"/>
      <c r="F359" s="304"/>
      <c r="G359" s="304"/>
      <c r="H359" s="305"/>
      <c r="I359" s="285" t="s">
        <v>19</v>
      </c>
      <c r="J359" s="286"/>
      <c r="K359" s="287"/>
      <c r="L359" s="285" t="s">
        <v>12</v>
      </c>
      <c r="M359" s="287"/>
      <c r="N359"/>
      <c r="O359" s="559"/>
      <c r="P359" s="13" t="s">
        <v>9</v>
      </c>
      <c r="Q359" s="435"/>
      <c r="R359" s="436"/>
      <c r="S359" s="436"/>
      <c r="T359" s="436"/>
      <c r="U359" s="437"/>
      <c r="V359" s="439"/>
      <c r="W359" s="440"/>
      <c r="X359" s="441"/>
      <c r="Y359" s="841"/>
      <c r="Z359" s="842"/>
    </row>
    <row r="360" spans="2:26" ht="15.5" x14ac:dyDescent="0.35">
      <c r="B360" s="559"/>
      <c r="C360" s="13">
        <v>18861</v>
      </c>
      <c r="D360" s="303" t="s">
        <v>383</v>
      </c>
      <c r="E360" s="304"/>
      <c r="F360" s="304"/>
      <c r="G360" s="304"/>
      <c r="H360" s="305"/>
      <c r="I360" s="285" t="s">
        <v>376</v>
      </c>
      <c r="J360" s="286"/>
      <c r="K360" s="287"/>
      <c r="L360" s="285" t="s">
        <v>12</v>
      </c>
      <c r="M360" s="287"/>
      <c r="N360"/>
      <c r="O360" s="559"/>
      <c r="P360" s="13" t="s">
        <v>9</v>
      </c>
      <c r="Q360" s="228"/>
      <c r="R360" s="229"/>
      <c r="S360" s="229"/>
      <c r="T360" s="229"/>
      <c r="U360" s="230"/>
      <c r="V360" s="439"/>
      <c r="W360" s="440"/>
      <c r="X360" s="441"/>
      <c r="Y360" s="917"/>
      <c r="Z360" s="918"/>
    </row>
    <row r="361" spans="2:26" ht="15.5" x14ac:dyDescent="0.35">
      <c r="B361" s="560"/>
      <c r="C361" s="14" t="s">
        <v>9</v>
      </c>
      <c r="D361" s="316"/>
      <c r="E361" s="317"/>
      <c r="F361" s="317"/>
      <c r="G361" s="317"/>
      <c r="H361" s="318"/>
      <c r="I361" s="297"/>
      <c r="J361" s="298"/>
      <c r="K361" s="299"/>
      <c r="L361" s="297"/>
      <c r="M361" s="299"/>
      <c r="N361"/>
      <c r="O361" s="560"/>
      <c r="P361" s="14" t="s">
        <v>9</v>
      </c>
      <c r="Q361" s="844"/>
      <c r="R361" s="845"/>
      <c r="S361" s="845"/>
      <c r="T361" s="845"/>
      <c r="U361" s="846"/>
      <c r="V361" s="804"/>
      <c r="W361" s="805"/>
      <c r="X361" s="806"/>
      <c r="Y361" s="811"/>
      <c r="Z361" s="812"/>
    </row>
    <row r="362" spans="2:26" ht="15.5" x14ac:dyDescent="0.35">
      <c r="B362" s="569">
        <v>151</v>
      </c>
      <c r="C362" s="44">
        <v>18870.5</v>
      </c>
      <c r="D362" s="827" t="s">
        <v>386</v>
      </c>
      <c r="E362" s="828"/>
      <c r="F362" s="828"/>
      <c r="G362" s="828"/>
      <c r="H362" s="829"/>
      <c r="I362" s="830" t="s">
        <v>128</v>
      </c>
      <c r="J362" s="831"/>
      <c r="K362" s="832"/>
      <c r="L362" s="750" t="s">
        <v>12</v>
      </c>
      <c r="M362" s="264"/>
      <c r="N362"/>
      <c r="O362" s="569">
        <v>152</v>
      </c>
      <c r="P362" s="43" t="s">
        <v>9</v>
      </c>
      <c r="Q362" s="458"/>
      <c r="R362" s="459"/>
      <c r="S362" s="459"/>
      <c r="T362" s="459"/>
      <c r="U362" s="460"/>
      <c r="V362" s="263"/>
      <c r="W362" s="263"/>
      <c r="X362" s="590"/>
      <c r="Y362" s="339"/>
      <c r="Z362" s="340"/>
    </row>
    <row r="363" spans="2:26" ht="15.5" x14ac:dyDescent="0.35">
      <c r="B363" s="570"/>
      <c r="C363" s="47">
        <v>18849.2</v>
      </c>
      <c r="D363" s="224" t="s">
        <v>387</v>
      </c>
      <c r="E363" s="222"/>
      <c r="F363" s="222"/>
      <c r="G363" s="222"/>
      <c r="H363" s="225"/>
      <c r="I363" s="231" t="s">
        <v>19</v>
      </c>
      <c r="J363" s="232"/>
      <c r="K363" s="302"/>
      <c r="L363" s="381" t="s">
        <v>12</v>
      </c>
      <c r="M363" s="233"/>
      <c r="N363"/>
      <c r="O363" s="570"/>
      <c r="P363" s="47" t="s">
        <v>9</v>
      </c>
      <c r="Q363" s="224"/>
      <c r="R363" s="222"/>
      <c r="S363" s="222"/>
      <c r="T363" s="222"/>
      <c r="U363" s="225"/>
      <c r="V363" s="232"/>
      <c r="W363" s="232"/>
      <c r="X363" s="302"/>
      <c r="Y363" s="232"/>
      <c r="Z363" s="233"/>
    </row>
    <row r="364" spans="2:26" ht="15.5" x14ac:dyDescent="0.35">
      <c r="B364" s="570"/>
      <c r="C364" s="44" t="s">
        <v>9</v>
      </c>
      <c r="D364" s="224"/>
      <c r="E364" s="222"/>
      <c r="F364" s="222"/>
      <c r="G364" s="222"/>
      <c r="H364" s="225"/>
      <c r="I364" s="231"/>
      <c r="J364" s="232"/>
      <c r="K364" s="302"/>
      <c r="L364" s="381"/>
      <c r="M364" s="233"/>
      <c r="N364"/>
      <c r="O364" s="570"/>
      <c r="P364" s="44" t="s">
        <v>9</v>
      </c>
      <c r="Q364" s="224"/>
      <c r="R364" s="222"/>
      <c r="S364" s="222"/>
      <c r="T364" s="222"/>
      <c r="U364" s="225"/>
      <c r="V364" s="232"/>
      <c r="W364" s="232"/>
      <c r="X364" s="302"/>
      <c r="Y364" s="232"/>
      <c r="Z364" s="233"/>
    </row>
    <row r="365" spans="2:26" ht="15.5" x14ac:dyDescent="0.35">
      <c r="B365" s="571"/>
      <c r="C365" s="45" t="s">
        <v>9</v>
      </c>
      <c r="D365" s="351"/>
      <c r="E365" s="352"/>
      <c r="F365" s="352"/>
      <c r="G365" s="352"/>
      <c r="H365" s="353"/>
      <c r="I365" s="248"/>
      <c r="J365" s="249"/>
      <c r="K365" s="577"/>
      <c r="L365" s="576"/>
      <c r="M365" s="250"/>
      <c r="N365"/>
      <c r="O365" s="571"/>
      <c r="P365" s="45">
        <v>18586</v>
      </c>
      <c r="Q365" s="351" t="s">
        <v>388</v>
      </c>
      <c r="R365" s="352"/>
      <c r="S365" s="352"/>
      <c r="T365" s="352"/>
      <c r="U365" s="353"/>
      <c r="V365" s="249" t="s">
        <v>18</v>
      </c>
      <c r="W365" s="249"/>
      <c r="X365" s="577"/>
      <c r="Y365" s="249" t="s">
        <v>12</v>
      </c>
      <c r="Z365" s="250"/>
    </row>
    <row r="366" spans="2:26" ht="15.5" x14ac:dyDescent="0.35">
      <c r="B366" s="559">
        <v>153</v>
      </c>
      <c r="C366" s="11">
        <v>19857</v>
      </c>
      <c r="D366" s="445" t="s">
        <v>389</v>
      </c>
      <c r="E366" s="446"/>
      <c r="F366" s="446"/>
      <c r="G366" s="446"/>
      <c r="H366" s="447"/>
      <c r="I366" s="206" t="s">
        <v>19</v>
      </c>
      <c r="J366" s="207"/>
      <c r="K366" s="598"/>
      <c r="L366" s="668" t="s">
        <v>12</v>
      </c>
      <c r="M366" s="208"/>
      <c r="N366"/>
      <c r="O366" s="559">
        <v>154</v>
      </c>
      <c r="P366" s="12" t="s">
        <v>9</v>
      </c>
      <c r="Q366" s="303"/>
      <c r="R366" s="304"/>
      <c r="S366" s="304"/>
      <c r="T366" s="304"/>
      <c r="U366" s="305"/>
      <c r="V366" s="285"/>
      <c r="W366" s="286"/>
      <c r="X366" s="388"/>
      <c r="Y366" s="651"/>
      <c r="Z366" s="652"/>
    </row>
    <row r="367" spans="2:26" ht="15.5" x14ac:dyDescent="0.35">
      <c r="B367" s="559"/>
      <c r="C367" s="12">
        <v>19863</v>
      </c>
      <c r="D367" s="303" t="s">
        <v>390</v>
      </c>
      <c r="E367" s="304"/>
      <c r="F367" s="304"/>
      <c r="G367" s="304"/>
      <c r="H367" s="305"/>
      <c r="I367" s="285" t="s">
        <v>29</v>
      </c>
      <c r="J367" s="286"/>
      <c r="K367" s="388"/>
      <c r="L367" s="387" t="s">
        <v>12</v>
      </c>
      <c r="M367" s="287"/>
      <c r="N367"/>
      <c r="O367" s="559"/>
      <c r="P367" s="13" t="s">
        <v>9</v>
      </c>
      <c r="Q367" s="303"/>
      <c r="R367" s="304"/>
      <c r="S367" s="304"/>
      <c r="T367" s="304"/>
      <c r="U367" s="305"/>
      <c r="V367" s="285"/>
      <c r="W367" s="286"/>
      <c r="X367" s="388"/>
      <c r="Y367" s="491"/>
      <c r="Z367" s="284"/>
    </row>
    <row r="368" spans="2:26" ht="15.5" x14ac:dyDescent="0.35">
      <c r="B368" s="559"/>
      <c r="C368" s="13" t="s">
        <v>9</v>
      </c>
      <c r="D368" s="303"/>
      <c r="E368" s="304"/>
      <c r="F368" s="304"/>
      <c r="G368" s="304"/>
      <c r="H368" s="305"/>
      <c r="I368" s="285"/>
      <c r="J368" s="286"/>
      <c r="K368" s="287"/>
      <c r="L368" s="285"/>
      <c r="M368" s="287"/>
      <c r="N368"/>
      <c r="O368" s="559"/>
      <c r="P368" s="13"/>
      <c r="Q368" s="303" t="s">
        <v>391</v>
      </c>
      <c r="R368" s="304"/>
      <c r="S368" s="304"/>
      <c r="T368" s="304"/>
      <c r="U368" s="305"/>
      <c r="V368" s="285" t="s">
        <v>42</v>
      </c>
      <c r="W368" s="286"/>
      <c r="X368" s="388"/>
      <c r="Y368" s="491" t="s">
        <v>43</v>
      </c>
      <c r="Z368" s="284"/>
    </row>
    <row r="369" spans="2:26" ht="15.5" x14ac:dyDescent="0.35">
      <c r="B369" s="560"/>
      <c r="C369" s="14">
        <v>19882</v>
      </c>
      <c r="D369" s="316" t="s">
        <v>392</v>
      </c>
      <c r="E369" s="317"/>
      <c r="F369" s="317"/>
      <c r="G369" s="317"/>
      <c r="H369" s="318"/>
      <c r="I369" s="297" t="s">
        <v>19</v>
      </c>
      <c r="J369" s="298"/>
      <c r="K369" s="299"/>
      <c r="L369" s="297" t="s">
        <v>12</v>
      </c>
      <c r="M369" s="299"/>
      <c r="N369"/>
      <c r="O369" s="560"/>
      <c r="P369" s="14"/>
      <c r="Q369" s="303" t="s">
        <v>393</v>
      </c>
      <c r="R369" s="304"/>
      <c r="S369" s="304"/>
      <c r="T369" s="304"/>
      <c r="U369" s="305"/>
      <c r="V369" s="285" t="s">
        <v>394</v>
      </c>
      <c r="W369" s="286"/>
      <c r="X369" s="388"/>
      <c r="Y369" s="561" t="s">
        <v>43</v>
      </c>
      <c r="Z369" s="260"/>
    </row>
    <row r="370" spans="2:26" ht="15.5" x14ac:dyDescent="0.35">
      <c r="B370" s="569">
        <v>155</v>
      </c>
      <c r="C370" s="43" t="s">
        <v>9</v>
      </c>
      <c r="D370" s="458"/>
      <c r="E370" s="459"/>
      <c r="F370" s="459"/>
      <c r="G370" s="459"/>
      <c r="H370" s="460"/>
      <c r="I370" s="262"/>
      <c r="J370" s="263"/>
      <c r="K370" s="590"/>
      <c r="L370" s="750"/>
      <c r="M370" s="264"/>
      <c r="N370"/>
      <c r="O370" s="555">
        <v>156</v>
      </c>
      <c r="P370" s="172" t="s">
        <v>9</v>
      </c>
      <c r="Q370" s="218"/>
      <c r="R370" s="219"/>
      <c r="S370" s="219"/>
      <c r="T370" s="219"/>
      <c r="U370" s="786"/>
      <c r="V370" s="813"/>
      <c r="W370" s="349"/>
      <c r="X370" s="350"/>
      <c r="Y370" s="341"/>
      <c r="Z370" s="340"/>
    </row>
    <row r="371" spans="2:26" ht="15.5" x14ac:dyDescent="0.35">
      <c r="B371" s="570"/>
      <c r="C371" s="155" t="s">
        <v>9</v>
      </c>
      <c r="D371" s="224"/>
      <c r="E371" s="222"/>
      <c r="F371" s="222"/>
      <c r="G371" s="222"/>
      <c r="H371" s="225"/>
      <c r="I371" s="231"/>
      <c r="J371" s="232"/>
      <c r="K371" s="302"/>
      <c r="L371" s="381"/>
      <c r="M371" s="233"/>
      <c r="N371"/>
      <c r="O371" s="556"/>
      <c r="P371" s="44" t="s">
        <v>9</v>
      </c>
      <c r="Q371" s="224"/>
      <c r="R371" s="222"/>
      <c r="S371" s="222"/>
      <c r="T371" s="222"/>
      <c r="U371" s="225"/>
      <c r="V371" s="231"/>
      <c r="W371" s="232"/>
      <c r="X371" s="233"/>
      <c r="Y371" s="226"/>
      <c r="Z371" s="227"/>
    </row>
    <row r="372" spans="2:26" ht="15.5" x14ac:dyDescent="0.35">
      <c r="B372" s="570"/>
      <c r="C372" s="44" t="s">
        <v>9</v>
      </c>
      <c r="D372" s="224"/>
      <c r="E372" s="222"/>
      <c r="F372" s="222"/>
      <c r="G372" s="222"/>
      <c r="H372" s="225"/>
      <c r="I372" s="231"/>
      <c r="J372" s="232"/>
      <c r="K372" s="233"/>
      <c r="L372" s="231"/>
      <c r="M372" s="233"/>
      <c r="N372"/>
      <c r="O372" s="556"/>
      <c r="P372" s="44" t="s">
        <v>9</v>
      </c>
      <c r="Q372" s="224"/>
      <c r="R372" s="222"/>
      <c r="S372" s="222"/>
      <c r="T372" s="222"/>
      <c r="U372" s="225"/>
      <c r="V372" s="231"/>
      <c r="W372" s="232"/>
      <c r="X372" s="233"/>
      <c r="Y372" s="226"/>
      <c r="Z372" s="227"/>
    </row>
    <row r="373" spans="2:26" ht="15.5" x14ac:dyDescent="0.35">
      <c r="B373" s="571"/>
      <c r="C373" s="156" t="s">
        <v>9</v>
      </c>
      <c r="D373" s="351"/>
      <c r="E373" s="352"/>
      <c r="F373" s="352"/>
      <c r="G373" s="352"/>
      <c r="H373" s="353"/>
      <c r="I373" s="248"/>
      <c r="J373" s="249"/>
      <c r="K373" s="250"/>
      <c r="L373" s="248"/>
      <c r="M373" s="250"/>
      <c r="N373"/>
      <c r="O373" s="557"/>
      <c r="P373" s="45" t="s">
        <v>9</v>
      </c>
      <c r="Q373" s="224"/>
      <c r="R373" s="222"/>
      <c r="S373" s="222"/>
      <c r="T373" s="222"/>
      <c r="U373" s="225"/>
      <c r="V373" s="231"/>
      <c r="W373" s="232"/>
      <c r="X373" s="302"/>
      <c r="Y373" s="346"/>
      <c r="Z373" s="347"/>
    </row>
    <row r="374" spans="2:26" ht="15.5" x14ac:dyDescent="0.35">
      <c r="B374" s="559">
        <v>157</v>
      </c>
      <c r="C374" s="12" t="s">
        <v>9</v>
      </c>
      <c r="D374" s="445" t="s">
        <v>567</v>
      </c>
      <c r="E374" s="446"/>
      <c r="F374" s="446"/>
      <c r="G374" s="446"/>
      <c r="H374" s="447"/>
      <c r="I374" s="206"/>
      <c r="J374" s="207"/>
      <c r="K374" s="208"/>
      <c r="L374" s="206" t="s">
        <v>43</v>
      </c>
      <c r="M374" s="208"/>
      <c r="N374"/>
      <c r="O374" s="556">
        <v>158</v>
      </c>
      <c r="P374" s="12" t="s">
        <v>9</v>
      </c>
      <c r="Q374" s="445"/>
      <c r="R374" s="446"/>
      <c r="S374" s="446"/>
      <c r="T374" s="446"/>
      <c r="U374" s="447"/>
      <c r="V374" s="206"/>
      <c r="W374" s="207"/>
      <c r="X374" s="598"/>
      <c r="Y374" s="438"/>
      <c r="Z374" s="247"/>
    </row>
    <row r="375" spans="2:26" ht="15.5" x14ac:dyDescent="0.35">
      <c r="B375" s="559"/>
      <c r="C375" s="13" t="s">
        <v>9</v>
      </c>
      <c r="D375" s="303" t="s">
        <v>568</v>
      </c>
      <c r="E375" s="304"/>
      <c r="F375" s="304"/>
      <c r="G375" s="304"/>
      <c r="H375" s="305"/>
      <c r="I375" s="285"/>
      <c r="J375" s="286"/>
      <c r="K375" s="287"/>
      <c r="L375" s="648" t="s">
        <v>43</v>
      </c>
      <c r="M375" s="649"/>
      <c r="N375"/>
      <c r="O375" s="556"/>
      <c r="P375" s="13" t="s">
        <v>9</v>
      </c>
      <c r="Q375" s="303"/>
      <c r="R375" s="304"/>
      <c r="S375" s="304"/>
      <c r="T375" s="304"/>
      <c r="U375" s="305"/>
      <c r="V375" s="285"/>
      <c r="W375" s="286"/>
      <c r="X375" s="388"/>
      <c r="Y375" s="286"/>
      <c r="Z375" s="287"/>
    </row>
    <row r="376" spans="2:26" ht="15.5" x14ac:dyDescent="0.35">
      <c r="B376" s="559"/>
      <c r="C376" s="13" t="s">
        <v>9</v>
      </c>
      <c r="D376" s="303" t="s">
        <v>569</v>
      </c>
      <c r="E376" s="304"/>
      <c r="F376" s="304"/>
      <c r="G376" s="304"/>
      <c r="H376" s="305"/>
      <c r="I376" s="285"/>
      <c r="J376" s="286"/>
      <c r="K376" s="287"/>
      <c r="L376" s="285" t="s">
        <v>43</v>
      </c>
      <c r="M376" s="287"/>
      <c r="N376"/>
      <c r="O376" s="556"/>
      <c r="P376" s="13" t="s">
        <v>9</v>
      </c>
      <c r="Q376" s="303"/>
      <c r="R376" s="304"/>
      <c r="S376" s="304"/>
      <c r="T376" s="304"/>
      <c r="U376" s="305"/>
      <c r="V376" s="285"/>
      <c r="W376" s="286"/>
      <c r="X376" s="388"/>
      <c r="Y376" s="286"/>
      <c r="Z376" s="287"/>
    </row>
    <row r="377" spans="2:26" ht="15.65" customHeight="1" x14ac:dyDescent="0.35">
      <c r="B377" s="560"/>
      <c r="C377" s="14" t="s">
        <v>9</v>
      </c>
      <c r="D377" s="316" t="s">
        <v>570</v>
      </c>
      <c r="E377" s="317"/>
      <c r="F377" s="317"/>
      <c r="G377" s="317"/>
      <c r="H377" s="318"/>
      <c r="I377" s="297"/>
      <c r="J377" s="298"/>
      <c r="K377" s="299"/>
      <c r="L377" s="297" t="s">
        <v>43</v>
      </c>
      <c r="M377" s="299"/>
      <c r="N377"/>
      <c r="O377" s="557"/>
      <c r="P377" s="14" t="s">
        <v>9</v>
      </c>
      <c r="Q377" s="787"/>
      <c r="R377" s="607"/>
      <c r="S377" s="607"/>
      <c r="T377" s="607"/>
      <c r="U377" s="608"/>
      <c r="V377" s="297"/>
      <c r="W377" s="298"/>
      <c r="X377" s="299"/>
      <c r="Y377" s="298"/>
      <c r="Z377" s="299"/>
    </row>
    <row r="378" spans="2:26" ht="15.5" x14ac:dyDescent="0.35">
      <c r="B378" s="569">
        <v>159</v>
      </c>
      <c r="C378" s="43">
        <v>301</v>
      </c>
      <c r="D378" s="458" t="s">
        <v>398</v>
      </c>
      <c r="E378" s="459"/>
      <c r="F378" s="459"/>
      <c r="G378" s="459"/>
      <c r="H378" s="460"/>
      <c r="I378" s="262" t="s">
        <v>397</v>
      </c>
      <c r="J378" s="263"/>
      <c r="K378" s="590"/>
      <c r="L378" s="921" t="s">
        <v>151</v>
      </c>
      <c r="M378" s="922"/>
      <c r="N378"/>
      <c r="O378" s="555">
        <v>160</v>
      </c>
      <c r="P378" s="44" t="s">
        <v>9</v>
      </c>
      <c r="Q378" s="423"/>
      <c r="R378" s="424"/>
      <c r="S378" s="424"/>
      <c r="T378" s="424"/>
      <c r="U378" s="425"/>
      <c r="V378" s="268"/>
      <c r="W378" s="269"/>
      <c r="X378" s="270"/>
      <c r="Y378" s="263"/>
      <c r="Z378" s="264"/>
    </row>
    <row r="379" spans="2:26" ht="15.65" customHeight="1" x14ac:dyDescent="0.35">
      <c r="B379" s="570"/>
      <c r="C379" s="47" t="s">
        <v>9</v>
      </c>
      <c r="D379" s="224" t="s">
        <v>571</v>
      </c>
      <c r="E379" s="222"/>
      <c r="F379" s="222"/>
      <c r="G379" s="222"/>
      <c r="H379" s="225"/>
      <c r="I379" s="231"/>
      <c r="J379" s="232"/>
      <c r="K379" s="302"/>
      <c r="L379" s="387" t="s">
        <v>43</v>
      </c>
      <c r="M379" s="287"/>
      <c r="N379"/>
      <c r="O379" s="556"/>
      <c r="P379" s="47" t="s">
        <v>9</v>
      </c>
      <c r="Q379" s="836"/>
      <c r="R379" s="837"/>
      <c r="S379" s="837"/>
      <c r="T379" s="837"/>
      <c r="U379" s="838"/>
      <c r="V379" s="411"/>
      <c r="W379" s="412"/>
      <c r="X379" s="413"/>
      <c r="Y379" s="261"/>
      <c r="Z379" s="227"/>
    </row>
    <row r="380" spans="2:26" ht="15.65" customHeight="1" x14ac:dyDescent="0.35">
      <c r="B380" s="570"/>
      <c r="C380" s="44">
        <v>235</v>
      </c>
      <c r="D380" s="224" t="s">
        <v>400</v>
      </c>
      <c r="E380" s="222"/>
      <c r="F380" s="222"/>
      <c r="G380" s="222"/>
      <c r="H380" s="225"/>
      <c r="I380" s="231" t="s">
        <v>401</v>
      </c>
      <c r="J380" s="232"/>
      <c r="K380" s="302"/>
      <c r="L380" s="387" t="s">
        <v>151</v>
      </c>
      <c r="M380" s="287"/>
      <c r="N380"/>
      <c r="O380" s="556"/>
      <c r="P380" s="44" t="s">
        <v>9</v>
      </c>
      <c r="Q380" s="420"/>
      <c r="R380" s="421"/>
      <c r="S380" s="421"/>
      <c r="T380" s="421"/>
      <c r="U380" s="422"/>
      <c r="V380" s="414"/>
      <c r="W380" s="415"/>
      <c r="X380" s="416"/>
      <c r="Y380" s="261"/>
      <c r="Z380" s="227"/>
    </row>
    <row r="381" spans="2:26" ht="15.65" customHeight="1" x14ac:dyDescent="0.35">
      <c r="B381" s="571"/>
      <c r="C381" s="45">
        <v>543</v>
      </c>
      <c r="D381" s="351" t="s">
        <v>402</v>
      </c>
      <c r="E381" s="352"/>
      <c r="F381" s="352"/>
      <c r="G381" s="352"/>
      <c r="H381" s="353"/>
      <c r="I381" s="248" t="s">
        <v>177</v>
      </c>
      <c r="J381" s="249"/>
      <c r="K381" s="577"/>
      <c r="L381" s="687" t="s">
        <v>151</v>
      </c>
      <c r="M381" s="299"/>
      <c r="N381"/>
      <c r="O381" s="557"/>
      <c r="P381" s="61" t="s">
        <v>9</v>
      </c>
      <c r="Q381" s="375"/>
      <c r="R381" s="376"/>
      <c r="S381" s="376"/>
      <c r="T381" s="376"/>
      <c r="U381" s="377"/>
      <c r="V381" s="306"/>
      <c r="W381" s="307"/>
      <c r="X381" s="308"/>
      <c r="Y381" s="490"/>
      <c r="Z381" s="347"/>
    </row>
    <row r="382" spans="2:26" ht="15.65" customHeight="1" x14ac:dyDescent="0.35">
      <c r="N382"/>
    </row>
    <row r="383" spans="2:26" ht="15.65" customHeight="1" x14ac:dyDescent="0.35">
      <c r="N383"/>
      <c r="O383" s="25"/>
      <c r="P383" s="26"/>
      <c r="Q383" s="18"/>
      <c r="R383" s="18"/>
      <c r="S383" s="18"/>
      <c r="T383" s="18"/>
      <c r="U383" s="18"/>
      <c r="V383" s="19"/>
      <c r="W383" s="19"/>
      <c r="X383" s="19"/>
      <c r="Y383" s="27"/>
      <c r="Z383" s="27"/>
    </row>
    <row r="389" spans="1:24" ht="15" customHeight="1" x14ac:dyDescent="0.35">
      <c r="A389" s="87" t="s">
        <v>0</v>
      </c>
      <c r="B389" s="88"/>
      <c r="C389" s="88"/>
      <c r="D389" s="89"/>
      <c r="E389"/>
      <c r="F389" s="527" t="s">
        <v>105</v>
      </c>
      <c r="G389" s="528"/>
      <c r="H389" s="528"/>
      <c r="I389" s="529"/>
      <c r="K389" s="87" t="s">
        <v>190</v>
      </c>
      <c r="L389" s="88"/>
      <c r="M389" s="88"/>
      <c r="N389" s="89"/>
      <c r="P389" s="527" t="s">
        <v>258</v>
      </c>
      <c r="Q389" s="528"/>
      <c r="R389" s="528"/>
      <c r="S389" s="529"/>
      <c r="U389" s="527" t="s">
        <v>404</v>
      </c>
      <c r="V389" s="528"/>
      <c r="W389" s="528"/>
      <c r="X389" s="529"/>
    </row>
    <row r="390" spans="1:24" ht="15" customHeight="1" x14ac:dyDescent="0.35">
      <c r="A390" s="90"/>
      <c r="B390" s="91"/>
      <c r="C390" s="91"/>
      <c r="D390" s="92"/>
      <c r="E390"/>
      <c r="F390" s="530"/>
      <c r="G390" s="531"/>
      <c r="H390" s="531"/>
      <c r="I390" s="532"/>
      <c r="K390" s="90"/>
      <c r="L390" s="91"/>
      <c r="M390" s="91"/>
      <c r="N390" s="92"/>
      <c r="P390" s="530"/>
      <c r="Q390" s="531"/>
      <c r="R390" s="531"/>
      <c r="S390" s="532"/>
      <c r="U390" s="530"/>
      <c r="V390" s="531"/>
      <c r="W390" s="531"/>
      <c r="X390" s="532"/>
    </row>
    <row r="391" spans="1:24" ht="15" customHeight="1" x14ac:dyDescent="0.35">
      <c r="A391"/>
      <c r="B391"/>
      <c r="C391"/>
      <c r="D391"/>
      <c r="E391"/>
      <c r="F391"/>
      <c r="G391"/>
      <c r="H391"/>
      <c r="I391"/>
      <c r="K391"/>
      <c r="L391"/>
      <c r="M391"/>
      <c r="N391"/>
      <c r="P391"/>
      <c r="Q391"/>
      <c r="R391"/>
      <c r="S391"/>
      <c r="U391"/>
      <c r="V391"/>
      <c r="W391"/>
      <c r="X391"/>
    </row>
    <row r="392" spans="1:24" ht="15.5" x14ac:dyDescent="0.35">
      <c r="A392" s="536" t="s">
        <v>8</v>
      </c>
      <c r="B392" s="536"/>
      <c r="C392" s="537" t="s">
        <v>405</v>
      </c>
      <c r="D392" s="538"/>
      <c r="E392"/>
      <c r="F392" s="536" t="s">
        <v>8</v>
      </c>
      <c r="G392" s="536"/>
      <c r="H392" s="537" t="s">
        <v>405</v>
      </c>
      <c r="I392" s="538"/>
      <c r="K392" s="536" t="s">
        <v>8</v>
      </c>
      <c r="L392" s="536"/>
      <c r="M392" s="93" t="s">
        <v>405</v>
      </c>
      <c r="N392" s="94"/>
      <c r="P392" s="536" t="s">
        <v>8</v>
      </c>
      <c r="Q392" s="536"/>
      <c r="R392" s="537" t="s">
        <v>405</v>
      </c>
      <c r="S392" s="538"/>
      <c r="U392" s="536" t="s">
        <v>8</v>
      </c>
      <c r="V392" s="536"/>
      <c r="W392" s="537" t="s">
        <v>405</v>
      </c>
      <c r="X392" s="538"/>
    </row>
    <row r="393" spans="1:24" ht="15.5" x14ac:dyDescent="0.35">
      <c r="A393" s="542" t="s">
        <v>12</v>
      </c>
      <c r="B393" s="542"/>
      <c r="C393" s="63">
        <f>COUNTIF($L$11:$M$74,"GEL")+COUNTIF($Y$11:$Z$74,"GEL")</f>
        <v>66</v>
      </c>
      <c r="D393" s="64"/>
      <c r="E393" s="102"/>
      <c r="F393" s="103" t="s">
        <v>12</v>
      </c>
      <c r="G393" s="101"/>
      <c r="H393" s="63">
        <f>COUNTIF($L$85:$M$148,"GEL") + COUNTIF($Y$85:$Z$148,"GEL")</f>
        <v>52</v>
      </c>
      <c r="I393" s="64"/>
      <c r="J393"/>
      <c r="K393" s="113" t="s">
        <v>12</v>
      </c>
      <c r="L393" s="96"/>
      <c r="M393" s="63">
        <f>COUNTIF($L$168:$M$231,"GEL") + COUNTIF($Y$168:$Z$231,"GEL")</f>
        <v>6</v>
      </c>
      <c r="N393" s="64"/>
      <c r="O393"/>
      <c r="P393" s="542" t="s">
        <v>12</v>
      </c>
      <c r="Q393" s="542"/>
      <c r="R393" s="543">
        <f>COUNTIF($Y$243:$Z$306,"GEL") + COUNTIF($L$243:$M$302,"GEL")</f>
        <v>53</v>
      </c>
      <c r="S393" s="544"/>
      <c r="T393"/>
      <c r="U393" s="542" t="s">
        <v>12</v>
      </c>
      <c r="V393" s="542"/>
      <c r="W393" s="543">
        <f>COUNTIF($L$318:$M$377,"GEL") + COUNTIF($Y$318:$Z$381,"GEL")</f>
        <v>24</v>
      </c>
      <c r="X393" s="544"/>
    </row>
    <row r="394" spans="1:24" ht="15.5" x14ac:dyDescent="0.35">
      <c r="A394" s="542" t="s">
        <v>255</v>
      </c>
      <c r="B394" s="542"/>
      <c r="C394" s="63">
        <f>COUNTIF($L$11:$M$74,"CONSELMAR") + COUNTIF($Y$11:$Z$74,"CONSELMAR")</f>
        <v>0</v>
      </c>
      <c r="D394" s="64"/>
      <c r="E394" s="97"/>
      <c r="F394" s="98" t="s">
        <v>255</v>
      </c>
      <c r="G394" s="98"/>
      <c r="H394" s="63">
        <f>COUNTIF($L$85:$M$148,"CONSELMAR") + COUNTIF($Y$85:$Z$148,"CONSELMAR")</f>
        <v>0</v>
      </c>
      <c r="I394" s="64"/>
      <c r="J394"/>
      <c r="K394" s="111" t="s">
        <v>255</v>
      </c>
      <c r="L394" s="96"/>
      <c r="M394" s="63">
        <f>COUNTIF($L$168:$M$231,"CONSELMAR") + COUNTIF($Y$168:$Z$231,"CONSELMAR")</f>
        <v>0</v>
      </c>
      <c r="N394" s="64"/>
      <c r="O394"/>
      <c r="P394" s="542" t="s">
        <v>255</v>
      </c>
      <c r="Q394" s="542"/>
      <c r="R394" s="543">
        <f>COUNTIF($L$243:$M$302,"CONSELMAR") + COUNTIF($Y$243:$Z$306,"CONSELMAR")</f>
        <v>0</v>
      </c>
      <c r="S394" s="544"/>
      <c r="T394"/>
      <c r="U394" s="542" t="s">
        <v>255</v>
      </c>
      <c r="V394" s="542"/>
      <c r="W394" s="543">
        <f>COUNTIF($L$318:$M$377,"CONSELMAR") + COUNTIF($Y$318:$Z$381,"CONSELMAR")</f>
        <v>0</v>
      </c>
      <c r="X394" s="544"/>
    </row>
    <row r="395" spans="1:24" ht="15.5" x14ac:dyDescent="0.35">
      <c r="A395" s="542" t="s">
        <v>308</v>
      </c>
      <c r="B395" s="542"/>
      <c r="C395" s="63">
        <f>COUNTIF($L$11:$M$74,"NUTRIVALE") + COUNTIF($Y$11:$Z$74,"NUTRIVALE")</f>
        <v>0</v>
      </c>
      <c r="D395" s="64"/>
      <c r="E395" s="99"/>
      <c r="F395" s="100" t="s">
        <v>308</v>
      </c>
      <c r="G395" s="100"/>
      <c r="H395" s="63">
        <f>COUNTIF($L$85:$M$148,"NUTRIVALE") + COUNTIF($Y$85:$Z$148,"NURIVALE")</f>
        <v>0</v>
      </c>
      <c r="I395" s="64"/>
      <c r="J395"/>
      <c r="K395" s="112" t="s">
        <v>308</v>
      </c>
      <c r="L395" s="96"/>
      <c r="M395" s="63">
        <f>COUNTIF($L$172:$M$231,"NUTRIVALE") + COUNTIF($Y$172:$Z$231,"NUTRIVALE")</f>
        <v>0</v>
      </c>
      <c r="N395" s="64"/>
      <c r="O395"/>
      <c r="P395" s="542" t="s">
        <v>308</v>
      </c>
      <c r="Q395" s="542"/>
      <c r="R395" s="543">
        <f>COUNTIF($L$243:$M$302,"NUTRIVALE") + COUNTIF($Y$243:$Z$306,"NUTRIVALE")</f>
        <v>11</v>
      </c>
      <c r="S395" s="544"/>
      <c r="T395"/>
      <c r="U395" s="542" t="s">
        <v>308</v>
      </c>
      <c r="V395" s="542"/>
      <c r="W395" s="543">
        <f>COUNTIF($L$318:$M$377,"NURIVALE") + COUNTIF($Y$318:$Z$381,"NUTRIVALE")</f>
        <v>0</v>
      </c>
      <c r="X395" s="544"/>
    </row>
    <row r="396" spans="1:24" ht="15.5" x14ac:dyDescent="0.35">
      <c r="A396" s="543" t="s">
        <v>406</v>
      </c>
      <c r="B396" s="544"/>
      <c r="C396" s="63">
        <f>COUNTIF($L$11:$M$74,"DMT") + COUNTIF($Y$11:$Z$74,"DMT")</f>
        <v>0</v>
      </c>
      <c r="D396" s="64"/>
      <c r="E396"/>
      <c r="F396" s="63" t="s">
        <v>406</v>
      </c>
      <c r="G396" s="64"/>
      <c r="H396" s="63">
        <f>COUNTIF($L$85:$M$148,"DMT") + COUNTIF($Y$85:$Z$148,"DMT")</f>
        <v>0</v>
      </c>
      <c r="I396" s="64"/>
      <c r="J396"/>
      <c r="K396" s="115" t="s">
        <v>406</v>
      </c>
      <c r="L396" s="64"/>
      <c r="M396" s="63">
        <f>COUNTIF($L$172:$M$231,"DMT") + COUNTIF($Y$172:$Z$231,"DMT")</f>
        <v>0</v>
      </c>
      <c r="N396" s="64"/>
      <c r="O396"/>
      <c r="P396" s="543" t="s">
        <v>406</v>
      </c>
      <c r="Q396" s="544"/>
      <c r="R396" s="543">
        <f>COUNTIF($L$243:$M$302,"DMT") + COUNTIF($Y$243:$Z$306,"DMT")</f>
        <v>0</v>
      </c>
      <c r="S396" s="544"/>
      <c r="T396"/>
      <c r="U396" s="543" t="s">
        <v>406</v>
      </c>
      <c r="V396" s="544"/>
      <c r="W396" s="543">
        <f>COUNTIF($L$318:$M$377,"DMT") + COUNTIF($Y$318:$Z$381,"DMT")</f>
        <v>0</v>
      </c>
      <c r="X396" s="544"/>
    </row>
    <row r="397" spans="1:24" ht="15.5" x14ac:dyDescent="0.35">
      <c r="A397" s="543" t="s">
        <v>407</v>
      </c>
      <c r="B397" s="544"/>
      <c r="C397" s="63">
        <f>COUNTIF($L$11:$M$74,"CAF") + COUNTIF($Y$11:$Z$74,"CAF")</f>
        <v>0</v>
      </c>
      <c r="D397" s="64"/>
      <c r="E397"/>
      <c r="F397" s="63" t="s">
        <v>407</v>
      </c>
      <c r="G397" s="64"/>
      <c r="H397" s="63">
        <f>COUNTIF($L$85:$M$148,"CAF") + COUNTIF($Y$85:$Z$148,"CAF")</f>
        <v>0</v>
      </c>
      <c r="I397" s="64"/>
      <c r="J397"/>
      <c r="K397" s="115" t="s">
        <v>407</v>
      </c>
      <c r="L397" s="64"/>
      <c r="M397" s="63">
        <f>COUNTIF($L$172:$M$231,"CAF") + COUNTIF($Y$172:$Z$231,"CAF")</f>
        <v>0</v>
      </c>
      <c r="N397" s="64"/>
      <c r="O397"/>
      <c r="P397" s="543" t="s">
        <v>408</v>
      </c>
      <c r="Q397" s="544"/>
      <c r="R397" s="543">
        <f>COUNTIF($L$243:$M$302,"HS LOCAÇÃO E M.DE ESTRUTUR.") + COUNTIF($Y$243:$Z$306,"HS LOCAÇÃO E M.DE ESTRUTUR.")</f>
        <v>0</v>
      </c>
      <c r="S397" s="544"/>
      <c r="T397"/>
      <c r="U397" s="543" t="s">
        <v>151</v>
      </c>
      <c r="V397" s="544"/>
      <c r="W397" s="543">
        <f>COUNTIF($L$318:$M$377,"LUPATINI") + COUNTIF($Y$318:$Z$381,"LUPATINI")</f>
        <v>0</v>
      </c>
      <c r="X397" s="544"/>
    </row>
    <row r="398" spans="1:24" ht="15.5" x14ac:dyDescent="0.35">
      <c r="A398" s="543" t="s">
        <v>43</v>
      </c>
      <c r="B398" s="544"/>
      <c r="C398" s="63">
        <f>COUNTIF($L$11:$M$74,"FJ TERRAPLENAGEM") + COUNTIF($Y$11:$Z$74,"FJ TERRAPLENAGEM")</f>
        <v>16</v>
      </c>
      <c r="D398" s="64"/>
      <c r="E398"/>
      <c r="F398" s="543" t="s">
        <v>43</v>
      </c>
      <c r="G398" s="544"/>
      <c r="H398" s="63">
        <f>COUNTIF($L$85:$M$148,"FJ TERRAPLENAGEM") + COUNTIF($Y$85:$Z$148,"TERRAPLENAGEM")</f>
        <v>7</v>
      </c>
      <c r="I398" s="64"/>
      <c r="J398"/>
      <c r="K398" s="543" t="s">
        <v>43</v>
      </c>
      <c r="L398" s="544"/>
      <c r="M398" s="63">
        <f>COUNTIF($L$172:$M$231,"FJ TERRAPLENAGEM") + COUNTIF($Y$172:$Z$231,"FJ TERRAPLENAGEM")</f>
        <v>1</v>
      </c>
      <c r="N398" s="64"/>
      <c r="O398"/>
      <c r="P398" s="543" t="s">
        <v>409</v>
      </c>
      <c r="Q398" s="544"/>
      <c r="R398" s="543">
        <f>COUNTIF($L$243:$M$302,"SAVENHAGO TRANS.") + COUNTIF($Y$243:$Z$306,"SAVENHAGO TRANS.")</f>
        <v>0</v>
      </c>
      <c r="S398" s="544"/>
      <c r="T398"/>
      <c r="U398" s="543" t="s">
        <v>43</v>
      </c>
      <c r="V398" s="544"/>
      <c r="W398" s="543">
        <f>COUNTIF($L$318:$M$377,"FJ TERRAPLENAGEM") + COUNTIF($Y$318:$Z$381,"FJ TERRAPLENAGEM")</f>
        <v>10</v>
      </c>
      <c r="X398" s="544"/>
    </row>
    <row r="399" spans="1:24" ht="15.5" x14ac:dyDescent="0.35">
      <c r="A399" s="543" t="s">
        <v>70</v>
      </c>
      <c r="B399" s="544"/>
      <c r="C399" s="63">
        <f>COUNTIF($L$11:$M$74,"BRASTRAN") + COUNTIF($Y$11:$Z$74,"BRASTRAN")</f>
        <v>0</v>
      </c>
      <c r="D399" s="64"/>
      <c r="E399"/>
      <c r="F399" s="109" t="s">
        <v>70</v>
      </c>
      <c r="G399" s="110"/>
      <c r="H399" s="63">
        <f>COUNTIF($L$85:$M$148,"BRASTRAN") + COUNTIF($Y$85:$Z$148,"BRASTRAN")</f>
        <v>0</v>
      </c>
      <c r="I399" s="64"/>
      <c r="J399"/>
      <c r="K399" s="114" t="s">
        <v>70</v>
      </c>
      <c r="L399" s="64"/>
      <c r="M399" s="63">
        <f>COUNTIF($L$172:$M$231,"BRASTRAN") + COUNTIF($Y$172:$Z$231,"BRASTRAN")</f>
        <v>0</v>
      </c>
      <c r="N399" s="64"/>
      <c r="O399"/>
      <c r="P399" s="543" t="s">
        <v>70</v>
      </c>
      <c r="Q399" s="544"/>
      <c r="R399" s="807">
        <f>COUNTIF($L$243:$M$302,"BRASTRAN") + COUNTIF($Y$243:$Z$306,"BRASTRAN")</f>
        <v>0</v>
      </c>
      <c r="S399" s="808"/>
      <c r="T399"/>
      <c r="U399" s="543" t="s">
        <v>70</v>
      </c>
      <c r="V399" s="544"/>
      <c r="W399" s="543">
        <f>COUNTIF($L$318:$M$377,"BRASTRAN") + COUNTIF($Y$318:$Z$381,"BRASTRAN")</f>
        <v>0</v>
      </c>
      <c r="X399" s="544"/>
    </row>
    <row r="400" spans="1:24" ht="15.5" x14ac:dyDescent="0.35">
      <c r="A400" s="50"/>
      <c r="B400" s="50"/>
      <c r="C400" s="50"/>
      <c r="D400" s="50"/>
      <c r="F400" s="50"/>
      <c r="G400" s="50"/>
      <c r="H400" s="50"/>
      <c r="I400" s="50"/>
      <c r="K400" s="50"/>
      <c r="L400" s="50"/>
      <c r="M400" s="50"/>
      <c r="N400" s="50"/>
      <c r="P400" s="543" t="s">
        <v>43</v>
      </c>
      <c r="Q400" s="810"/>
      <c r="R400" s="807">
        <f>COUNTIF($L$243:$M$302,"FJ TERRAPLENAGEM") + COUNTIF($Y$243:$Z$306,"FJ TERRAPLENAGEM")</f>
        <v>0</v>
      </c>
      <c r="S400" s="808"/>
      <c r="U400" s="50"/>
      <c r="V400" s="50"/>
      <c r="W400" s="50"/>
      <c r="X400" s="50"/>
    </row>
    <row r="401" spans="1:24" ht="15.5" x14ac:dyDescent="0.35">
      <c r="A401" s="546" t="s">
        <v>410</v>
      </c>
      <c r="B401" s="546"/>
      <c r="C401" s="85">
        <v>128</v>
      </c>
      <c r="D401" s="85"/>
      <c r="E401" s="104"/>
      <c r="F401" s="105" t="s">
        <v>410</v>
      </c>
      <c r="G401" s="105"/>
      <c r="H401" s="106">
        <v>128</v>
      </c>
      <c r="I401" s="85"/>
      <c r="K401" s="85" t="s">
        <v>410</v>
      </c>
      <c r="L401" s="85"/>
      <c r="M401" s="85">
        <v>128</v>
      </c>
      <c r="N401" s="85"/>
      <c r="P401" s="546" t="s">
        <v>410</v>
      </c>
      <c r="Q401" s="546"/>
      <c r="R401" s="809">
        <v>128</v>
      </c>
      <c r="S401" s="809"/>
      <c r="U401" s="546" t="s">
        <v>410</v>
      </c>
      <c r="V401" s="546"/>
      <c r="W401" s="546">
        <v>128</v>
      </c>
      <c r="X401" s="546"/>
    </row>
    <row r="402" spans="1:24" ht="15.5" x14ac:dyDescent="0.35">
      <c r="A402" s="547" t="s">
        <v>411</v>
      </c>
      <c r="B402" s="547"/>
      <c r="C402" s="95">
        <f>SUM(C393:D399)</f>
        <v>82</v>
      </c>
      <c r="D402" s="95"/>
      <c r="E402" s="104"/>
      <c r="F402" s="107" t="s">
        <v>411</v>
      </c>
      <c r="G402" s="107"/>
      <c r="H402" s="95">
        <f>SUM(H393:I399)</f>
        <v>59</v>
      </c>
      <c r="I402" s="95"/>
      <c r="K402" s="95" t="s">
        <v>411</v>
      </c>
      <c r="L402" s="95"/>
      <c r="M402" s="95">
        <f>SUM(M393:N399)</f>
        <v>7</v>
      </c>
      <c r="N402" s="95"/>
      <c r="P402" s="547" t="s">
        <v>411</v>
      </c>
      <c r="Q402" s="547"/>
      <c r="R402" s="547">
        <f>SUM(R393:S400)</f>
        <v>64</v>
      </c>
      <c r="S402" s="547"/>
      <c r="U402" s="547" t="s">
        <v>411</v>
      </c>
      <c r="V402" s="547"/>
      <c r="W402" s="547">
        <f>SUM(W393:X399)</f>
        <v>34</v>
      </c>
      <c r="X402" s="547"/>
    </row>
    <row r="403" spans="1:24" ht="15.5" x14ac:dyDescent="0.35">
      <c r="A403" s="545" t="s">
        <v>412</v>
      </c>
      <c r="B403" s="545"/>
      <c r="C403" s="86">
        <f>C401-C402</f>
        <v>46</v>
      </c>
      <c r="D403" s="86"/>
      <c r="E403" s="104"/>
      <c r="F403" s="108" t="s">
        <v>412</v>
      </c>
      <c r="G403" s="108"/>
      <c r="H403" s="86">
        <f>H401-H402</f>
        <v>69</v>
      </c>
      <c r="I403" s="86"/>
      <c r="K403" s="86" t="s">
        <v>412</v>
      </c>
      <c r="L403" s="86"/>
      <c r="M403" s="86">
        <f>M401-M402</f>
        <v>121</v>
      </c>
      <c r="N403" s="86"/>
      <c r="P403" s="545" t="s">
        <v>412</v>
      </c>
      <c r="Q403" s="545"/>
      <c r="R403" s="545">
        <f>R401-R402</f>
        <v>64</v>
      </c>
      <c r="S403" s="545"/>
      <c r="U403" s="545" t="s">
        <v>412</v>
      </c>
      <c r="V403" s="545"/>
      <c r="W403" s="545">
        <f>W401-W402</f>
        <v>94</v>
      </c>
      <c r="X403" s="545"/>
    </row>
    <row r="413" spans="1:24" ht="15.5" x14ac:dyDescent="0.35">
      <c r="V413" s="33" t="s">
        <v>413</v>
      </c>
      <c r="W413" s="33" t="s">
        <v>405</v>
      </c>
    </row>
    <row r="414" spans="1:24" ht="15.5" x14ac:dyDescent="0.35">
      <c r="V414" s="40" t="s">
        <v>12</v>
      </c>
      <c r="W414" s="41">
        <f>C393+H393+M393+R393+W393</f>
        <v>201</v>
      </c>
    </row>
    <row r="415" spans="1:24" ht="15.5" x14ac:dyDescent="0.35">
      <c r="V415" s="31" t="s">
        <v>255</v>
      </c>
      <c r="W415" s="36">
        <f>C394+H394+M394+R394+W394</f>
        <v>0</v>
      </c>
    </row>
    <row r="416" spans="1:24" ht="15.5" x14ac:dyDescent="0.35">
      <c r="V416" s="32" t="s">
        <v>308</v>
      </c>
      <c r="W416" s="37">
        <f>C395+H395+M395+R395+W395</f>
        <v>11</v>
      </c>
    </row>
    <row r="417" spans="22:23" ht="15.5" x14ac:dyDescent="0.35">
      <c r="V417" s="38" t="s">
        <v>406</v>
      </c>
      <c r="W417" s="39">
        <f>C396+H396+M396+R396+W396</f>
        <v>0</v>
      </c>
    </row>
    <row r="418" spans="22:23" ht="15.5" x14ac:dyDescent="0.35">
      <c r="V418" s="29" t="s">
        <v>407</v>
      </c>
      <c r="W418" s="34">
        <f>C397+H397+M397+R397</f>
        <v>0</v>
      </c>
    </row>
    <row r="419" spans="22:23" ht="15.5" x14ac:dyDescent="0.35">
      <c r="V419" s="51" t="s">
        <v>151</v>
      </c>
      <c r="W419" s="52">
        <f>W397</f>
        <v>0</v>
      </c>
    </row>
    <row r="420" spans="22:23" ht="15.5" x14ac:dyDescent="0.35">
      <c r="V420" s="30" t="s">
        <v>70</v>
      </c>
      <c r="W420" s="35">
        <f>C399+H399+M399+R399+W399</f>
        <v>0</v>
      </c>
    </row>
    <row r="421" spans="22:23" x14ac:dyDescent="0.35">
      <c r="V421" s="66" t="s">
        <v>414</v>
      </c>
      <c r="W421" s="49">
        <f>R398</f>
        <v>0</v>
      </c>
    </row>
    <row r="422" spans="22:23" ht="15.5" x14ac:dyDescent="0.35">
      <c r="V422" s="48" t="s">
        <v>415</v>
      </c>
      <c r="W422" s="48">
        <f>640-W414-W415-W416-W417-W418-W420-W419-W421</f>
        <v>428</v>
      </c>
    </row>
    <row r="436" spans="1:16" x14ac:dyDescent="0.35">
      <c r="C436" s="16"/>
      <c r="D436" s="16"/>
      <c r="E436" s="16"/>
      <c r="F436" s="16"/>
      <c r="G436" s="16"/>
      <c r="H436" s="16"/>
    </row>
    <row r="437" spans="1:16" x14ac:dyDescent="0.35">
      <c r="C437" s="16"/>
      <c r="D437" s="16"/>
      <c r="E437" s="16"/>
      <c r="F437" s="16"/>
      <c r="G437" s="16"/>
      <c r="H437" s="16"/>
    </row>
    <row r="438" spans="1:16" x14ac:dyDescent="0.35">
      <c r="C438" s="16"/>
      <c r="D438" s="16"/>
      <c r="E438" s="16"/>
      <c r="F438" s="16"/>
      <c r="G438" s="16"/>
      <c r="H438" s="16"/>
    </row>
    <row r="439" spans="1:16" x14ac:dyDescent="0.35">
      <c r="C439" s="16"/>
      <c r="D439" s="16"/>
      <c r="E439" s="16"/>
      <c r="F439" s="16"/>
      <c r="G439" s="16"/>
      <c r="H439" s="16"/>
    </row>
    <row r="440" spans="1:16" x14ac:dyDescent="0.35">
      <c r="A440" s="16"/>
      <c r="B440" s="16"/>
      <c r="C440" s="16"/>
      <c r="D440" s="16"/>
      <c r="E440" s="16"/>
      <c r="F440" s="16"/>
      <c r="G440" s="16"/>
      <c r="H440" s="16"/>
      <c r="P440"/>
    </row>
    <row r="441" spans="1:16" x14ac:dyDescent="0.35">
      <c r="C441" s="16"/>
      <c r="D441" s="16"/>
      <c r="E441" s="16"/>
      <c r="F441" s="16"/>
      <c r="G441" s="16"/>
      <c r="H441" s="16"/>
      <c r="P441"/>
    </row>
    <row r="442" spans="1:16" x14ac:dyDescent="0.35">
      <c r="C442" s="16"/>
      <c r="D442" s="16"/>
      <c r="E442" s="16"/>
      <c r="F442" s="16"/>
      <c r="G442" s="16"/>
      <c r="H442" s="16"/>
      <c r="P442"/>
    </row>
    <row r="443" spans="1:16" x14ac:dyDescent="0.35">
      <c r="C443" s="16"/>
      <c r="D443" s="16"/>
      <c r="E443" s="16"/>
      <c r="F443" s="16"/>
      <c r="G443" s="16"/>
      <c r="H443" s="16"/>
      <c r="P443"/>
    </row>
    <row r="444" spans="1:16" x14ac:dyDescent="0.35">
      <c r="C444" s="16"/>
      <c r="D444" s="16"/>
      <c r="E444" s="16"/>
      <c r="F444" s="16"/>
      <c r="G444" s="16"/>
      <c r="H444" s="16"/>
      <c r="P444"/>
    </row>
    <row r="445" spans="1:16" x14ac:dyDescent="0.35">
      <c r="C445" s="16"/>
      <c r="D445" s="16"/>
      <c r="E445" s="16"/>
      <c r="F445" s="16"/>
      <c r="G445" s="16"/>
      <c r="H445" s="16"/>
      <c r="P445"/>
    </row>
    <row r="446" spans="1:16" x14ac:dyDescent="0.35">
      <c r="C446" s="16"/>
      <c r="D446" s="16"/>
      <c r="E446" s="16"/>
      <c r="F446" s="16"/>
      <c r="G446" s="16"/>
      <c r="H446" s="16"/>
      <c r="P446"/>
    </row>
    <row r="447" spans="1:16" x14ac:dyDescent="0.35">
      <c r="C447" s="16"/>
      <c r="D447" s="16"/>
      <c r="E447" s="16"/>
      <c r="F447" s="16"/>
      <c r="G447" s="16"/>
      <c r="H447" s="16"/>
      <c r="P447"/>
    </row>
    <row r="448" spans="1:16" x14ac:dyDescent="0.35">
      <c r="C448" s="16"/>
      <c r="D448" s="16"/>
      <c r="E448"/>
      <c r="F448" s="16"/>
      <c r="G448" s="16"/>
      <c r="H448" s="16"/>
      <c r="P448"/>
    </row>
    <row r="449" spans="1:8" x14ac:dyDescent="0.35">
      <c r="C449" s="16"/>
      <c r="D449" s="16"/>
      <c r="E449" s="16"/>
      <c r="F449" s="16"/>
      <c r="G449" s="16"/>
      <c r="H449" s="16"/>
    </row>
    <row r="450" spans="1:8" x14ac:dyDescent="0.35">
      <c r="A450" s="16"/>
      <c r="B450" s="16"/>
      <c r="C450" s="16"/>
      <c r="D450" s="16"/>
      <c r="E450"/>
      <c r="F450" s="16"/>
      <c r="G450" s="16"/>
      <c r="H450" s="16"/>
    </row>
    <row r="451" spans="1:8" x14ac:dyDescent="0.35">
      <c r="A451" s="16"/>
      <c r="B451" s="16"/>
      <c r="C451" s="16"/>
      <c r="D451" s="16"/>
      <c r="E451"/>
      <c r="F451" s="16"/>
      <c r="G451" s="16"/>
      <c r="H451" s="16"/>
    </row>
    <row r="452" spans="1:8" x14ac:dyDescent="0.35">
      <c r="A452" s="16"/>
      <c r="B452" s="16"/>
      <c r="C452" s="16"/>
      <c r="D452" s="16"/>
      <c r="E452"/>
      <c r="F452" s="16"/>
      <c r="G452" s="16"/>
      <c r="H452" s="16"/>
    </row>
    <row r="453" spans="1:8" x14ac:dyDescent="0.35">
      <c r="A453" s="16"/>
      <c r="B453" s="16"/>
      <c r="C453" s="16"/>
      <c r="D453" s="16"/>
      <c r="E453"/>
      <c r="F453" s="16"/>
      <c r="G453" s="16"/>
      <c r="H453" s="16"/>
    </row>
    <row r="454" spans="1:8" x14ac:dyDescent="0.35">
      <c r="A454" s="16"/>
      <c r="B454" s="16"/>
      <c r="C454" s="16"/>
      <c r="D454" s="16"/>
      <c r="E454"/>
      <c r="F454" s="16"/>
      <c r="G454" s="16"/>
      <c r="H454" s="16"/>
    </row>
    <row r="455" spans="1:8" x14ac:dyDescent="0.35">
      <c r="A455" s="16"/>
      <c r="B455" s="16"/>
      <c r="C455" s="16"/>
      <c r="D455" s="16"/>
      <c r="E455"/>
      <c r="F455" s="16"/>
      <c r="G455" s="16"/>
      <c r="H455" s="16"/>
    </row>
    <row r="456" spans="1:8" x14ac:dyDescent="0.35">
      <c r="A456" s="16"/>
      <c r="B456" s="16"/>
      <c r="C456" s="16"/>
      <c r="D456" s="16"/>
      <c r="E456"/>
      <c r="F456" s="16"/>
      <c r="G456" s="16"/>
      <c r="H456" s="16"/>
    </row>
    <row r="457" spans="1:8" x14ac:dyDescent="0.35">
      <c r="A457" s="16"/>
      <c r="B457" s="16"/>
      <c r="C457" s="16"/>
      <c r="D457" s="16"/>
      <c r="E457"/>
      <c r="F457" s="16"/>
      <c r="G457" s="16"/>
      <c r="H457" s="16"/>
    </row>
    <row r="458" spans="1:8" x14ac:dyDescent="0.35">
      <c r="A458" s="16"/>
      <c r="B458" s="16"/>
      <c r="C458" s="16"/>
      <c r="D458" s="16"/>
      <c r="E458"/>
      <c r="F458" s="16"/>
      <c r="G458" s="16"/>
      <c r="H458" s="16"/>
    </row>
    <row r="459" spans="1:8" x14ac:dyDescent="0.35">
      <c r="A459" s="16"/>
      <c r="B459" s="16"/>
      <c r="C459" s="16"/>
      <c r="D459" s="16"/>
      <c r="E459"/>
      <c r="F459" s="16"/>
      <c r="G459" s="16"/>
      <c r="H459" s="16"/>
    </row>
    <row r="460" spans="1:8" x14ac:dyDescent="0.35">
      <c r="A460" s="16"/>
      <c r="B460" s="16"/>
      <c r="C460" s="16"/>
      <c r="D460" s="16"/>
      <c r="E460"/>
      <c r="F460" s="16"/>
      <c r="G460" s="16"/>
      <c r="H460" s="16"/>
    </row>
    <row r="461" spans="1:8" x14ac:dyDescent="0.35">
      <c r="A461" s="16"/>
      <c r="B461" s="16"/>
      <c r="C461" s="16"/>
      <c r="D461" s="16"/>
      <c r="E461"/>
      <c r="F461" s="16"/>
      <c r="G461" s="16"/>
      <c r="H461" s="16"/>
    </row>
    <row r="462" spans="1:8" x14ac:dyDescent="0.35">
      <c r="A462" s="16"/>
      <c r="B462" s="16"/>
      <c r="C462" s="16"/>
      <c r="D462" s="16"/>
      <c r="E462"/>
      <c r="F462" s="16"/>
      <c r="G462" s="16"/>
      <c r="H462" s="16"/>
    </row>
    <row r="463" spans="1:8" x14ac:dyDescent="0.35">
      <c r="A463" s="16"/>
      <c r="B463" s="16"/>
      <c r="C463" s="16"/>
      <c r="D463" s="16"/>
      <c r="E463"/>
      <c r="F463" s="16"/>
      <c r="G463" s="16"/>
      <c r="H463" s="16"/>
    </row>
    <row r="464" spans="1:8" x14ac:dyDescent="0.35">
      <c r="A464" s="16"/>
      <c r="B464" s="16"/>
      <c r="C464" s="16"/>
      <c r="D464" s="16"/>
      <c r="E464"/>
      <c r="F464" s="16"/>
      <c r="G464" s="16"/>
      <c r="H464" s="16"/>
    </row>
    <row r="465" spans="1:8" x14ac:dyDescent="0.35">
      <c r="A465" s="16"/>
      <c r="B465" s="16"/>
      <c r="C465" s="16"/>
      <c r="D465" s="16"/>
      <c r="E465"/>
      <c r="F465" s="16"/>
      <c r="G465" s="16"/>
      <c r="H465" s="16"/>
    </row>
    <row r="466" spans="1:8" x14ac:dyDescent="0.35">
      <c r="A466" s="16"/>
      <c r="B466" s="16"/>
      <c r="C466" s="16"/>
      <c r="D466" s="16"/>
      <c r="E466"/>
      <c r="F466" s="16"/>
      <c r="G466" s="16"/>
      <c r="H466" s="16"/>
    </row>
    <row r="467" spans="1:8" x14ac:dyDescent="0.35">
      <c r="A467" s="16"/>
      <c r="B467" s="16"/>
      <c r="C467" s="16"/>
      <c r="D467" s="16"/>
      <c r="E467"/>
      <c r="F467" s="16"/>
      <c r="G467" s="16"/>
      <c r="H467" s="16"/>
    </row>
    <row r="468" spans="1:8" x14ac:dyDescent="0.35">
      <c r="A468" s="16"/>
      <c r="B468" s="16"/>
      <c r="C468" s="16"/>
      <c r="D468" s="16"/>
      <c r="E468"/>
      <c r="F468" s="16"/>
      <c r="G468" s="16"/>
      <c r="H468" s="16"/>
    </row>
    <row r="469" spans="1:8" x14ac:dyDescent="0.35">
      <c r="A469" s="16"/>
      <c r="B469" s="16"/>
      <c r="C469" s="16"/>
      <c r="D469" s="16"/>
      <c r="E469"/>
      <c r="F469" s="16"/>
      <c r="G469" s="16"/>
      <c r="H469" s="16"/>
    </row>
    <row r="470" spans="1:8" x14ac:dyDescent="0.35">
      <c r="A470" s="16"/>
      <c r="B470" s="16"/>
      <c r="C470" s="16"/>
      <c r="D470" s="16"/>
      <c r="E470"/>
      <c r="F470" s="16"/>
      <c r="G470" s="16"/>
      <c r="H470" s="16"/>
    </row>
    <row r="471" spans="1:8" x14ac:dyDescent="0.35">
      <c r="A471" s="16"/>
      <c r="B471" s="16"/>
      <c r="C471" s="16"/>
      <c r="D471" s="16"/>
      <c r="E471"/>
      <c r="F471" s="16"/>
      <c r="G471" s="16"/>
      <c r="H471" s="16"/>
    </row>
    <row r="472" spans="1:8" x14ac:dyDescent="0.35">
      <c r="A472" s="16"/>
      <c r="B472" s="16"/>
      <c r="C472" s="16"/>
      <c r="D472" s="16"/>
      <c r="E472"/>
      <c r="F472" s="16"/>
      <c r="G472" s="16"/>
      <c r="H472" s="16"/>
    </row>
    <row r="473" spans="1:8" x14ac:dyDescent="0.35">
      <c r="A473" s="16"/>
      <c r="B473" s="16"/>
      <c r="C473" s="16"/>
      <c r="D473" s="16"/>
      <c r="E473"/>
      <c r="F473" s="16"/>
      <c r="G473" s="16"/>
      <c r="H473" s="16"/>
    </row>
    <row r="474" spans="1:8" x14ac:dyDescent="0.35">
      <c r="A474" s="16"/>
      <c r="B474" s="16"/>
      <c r="C474" s="16"/>
      <c r="D474" s="16"/>
      <c r="E474"/>
      <c r="F474" s="16"/>
      <c r="G474" s="16"/>
      <c r="H474" s="16"/>
    </row>
    <row r="475" spans="1:8" x14ac:dyDescent="0.35">
      <c r="A475" s="16"/>
      <c r="B475" s="16"/>
      <c r="C475" s="16"/>
      <c r="D475" s="16"/>
      <c r="E475"/>
      <c r="F475" s="16"/>
      <c r="G475" s="16"/>
      <c r="H475" s="16"/>
    </row>
    <row r="476" spans="1:8" x14ac:dyDescent="0.35">
      <c r="A476" s="16"/>
      <c r="B476" s="16"/>
    </row>
    <row r="477" spans="1:8" x14ac:dyDescent="0.35">
      <c r="A477" s="16"/>
      <c r="B477" s="16"/>
    </row>
    <row r="478" spans="1:8" x14ac:dyDescent="0.35">
      <c r="A478" s="16"/>
      <c r="B478" s="16"/>
    </row>
    <row r="479" spans="1:8" x14ac:dyDescent="0.35">
      <c r="A479" s="16"/>
      <c r="B479" s="16"/>
    </row>
  </sheetData>
  <mergeCells count="2193">
    <mergeCell ref="I347:K347"/>
    <mergeCell ref="D306:H306"/>
    <mergeCell ref="D349:H349"/>
    <mergeCell ref="I349:K349"/>
    <mergeCell ref="L349:M349"/>
    <mergeCell ref="L350:M350"/>
    <mergeCell ref="I346:K346"/>
    <mergeCell ref="L346:M346"/>
    <mergeCell ref="D348:H348"/>
    <mergeCell ref="I348:K348"/>
    <mergeCell ref="I353:K353"/>
    <mergeCell ref="D356:H356"/>
    <mergeCell ref="D352:H352"/>
    <mergeCell ref="I380:K380"/>
    <mergeCell ref="L380:M380"/>
    <mergeCell ref="D336:H336"/>
    <mergeCell ref="L335:M335"/>
    <mergeCell ref="D379:H379"/>
    <mergeCell ref="I379:K379"/>
    <mergeCell ref="L379:M379"/>
    <mergeCell ref="L357:M357"/>
    <mergeCell ref="L348:M348"/>
    <mergeCell ref="D378:H378"/>
    <mergeCell ref="D354:H354"/>
    <mergeCell ref="L378:M378"/>
    <mergeCell ref="I350:K350"/>
    <mergeCell ref="D350:H350"/>
    <mergeCell ref="I344:K344"/>
    <mergeCell ref="D344:H344"/>
    <mergeCell ref="D339:H339"/>
    <mergeCell ref="D380:H380"/>
    <mergeCell ref="I352:K352"/>
    <mergeCell ref="Q300:U300"/>
    <mergeCell ref="Q381:U381"/>
    <mergeCell ref="Q378:U378"/>
    <mergeCell ref="Q350:U350"/>
    <mergeCell ref="V306:X306"/>
    <mergeCell ref="Q317:U317"/>
    <mergeCell ref="Q319:U319"/>
    <mergeCell ref="V319:X319"/>
    <mergeCell ref="Q333:U333"/>
    <mergeCell ref="V317:X317"/>
    <mergeCell ref="Q303:U303"/>
    <mergeCell ref="Y346:Z346"/>
    <mergeCell ref="Y344:Z344"/>
    <mergeCell ref="Y374:Z374"/>
    <mergeCell ref="Y356:Z356"/>
    <mergeCell ref="Y370:Z370"/>
    <mergeCell ref="Y371:Z371"/>
    <mergeCell ref="Y372:Z372"/>
    <mergeCell ref="Y375:Z375"/>
    <mergeCell ref="Y373:Z373"/>
    <mergeCell ref="Q334:U334"/>
    <mergeCell ref="V334:X334"/>
    <mergeCell ref="V336:X336"/>
    <mergeCell ref="Q336:U336"/>
    <mergeCell ref="Q339:U339"/>
    <mergeCell ref="Y338:Z338"/>
    <mergeCell ref="Y339:Z339"/>
    <mergeCell ref="Q354:U354"/>
    <mergeCell ref="Y360:Z360"/>
    <mergeCell ref="Y367:Z367"/>
    <mergeCell ref="V345:X345"/>
    <mergeCell ref="V348:X348"/>
    <mergeCell ref="I318:K318"/>
    <mergeCell ref="Y295:Z295"/>
    <mergeCell ref="Y336:Z336"/>
    <mergeCell ref="Y333:Z333"/>
    <mergeCell ref="Y334:Z334"/>
    <mergeCell ref="Y337:Z337"/>
    <mergeCell ref="I333:K333"/>
    <mergeCell ref="L333:M333"/>
    <mergeCell ref="I335:K335"/>
    <mergeCell ref="V331:X331"/>
    <mergeCell ref="V301:X301"/>
    <mergeCell ref="I339:K339"/>
    <mergeCell ref="I327:K327"/>
    <mergeCell ref="I306:K306"/>
    <mergeCell ref="Y331:Z331"/>
    <mergeCell ref="Q295:U295"/>
    <mergeCell ref="V302:X302"/>
    <mergeCell ref="I325:K325"/>
    <mergeCell ref="V297:X297"/>
    <mergeCell ref="V296:X296"/>
    <mergeCell ref="V333:X333"/>
    <mergeCell ref="Q330:U330"/>
    <mergeCell ref="V330:X330"/>
    <mergeCell ref="Q332:U332"/>
    <mergeCell ref="Y304:Z304"/>
    <mergeCell ref="Y303:Z303"/>
    <mergeCell ref="Y301:Z301"/>
    <mergeCell ref="V339:X339"/>
    <mergeCell ref="Q296:U296"/>
    <mergeCell ref="Y302:Z302"/>
    <mergeCell ref="Q299:U299"/>
    <mergeCell ref="V332:X332"/>
    <mergeCell ref="O342:O345"/>
    <mergeCell ref="O346:O349"/>
    <mergeCell ref="V337:X337"/>
    <mergeCell ref="Q338:U338"/>
    <mergeCell ref="V338:X338"/>
    <mergeCell ref="Y247:Z247"/>
    <mergeCell ref="V247:X247"/>
    <mergeCell ref="V251:X251"/>
    <mergeCell ref="V245:X245"/>
    <mergeCell ref="Q230:U230"/>
    <mergeCell ref="V250:X250"/>
    <mergeCell ref="L329:M329"/>
    <mergeCell ref="Y297:Z297"/>
    <mergeCell ref="Y298:Z298"/>
    <mergeCell ref="Y300:Z300"/>
    <mergeCell ref="Y305:Z305"/>
    <mergeCell ref="Y306:Z306"/>
    <mergeCell ref="O330:O333"/>
    <mergeCell ref="Y332:Z332"/>
    <mergeCell ref="L319:M319"/>
    <mergeCell ref="L325:M325"/>
    <mergeCell ref="L326:M326"/>
    <mergeCell ref="Y317:Z317"/>
    <mergeCell ref="Y284:Z284"/>
    <mergeCell ref="Y280:Z280"/>
    <mergeCell ref="Y281:Z281"/>
    <mergeCell ref="Y282:Z282"/>
    <mergeCell ref="Y283:Z283"/>
    <mergeCell ref="V278:X278"/>
    <mergeCell ref="V277:X277"/>
    <mergeCell ref="V276:X276"/>
    <mergeCell ref="Y287:Z287"/>
    <mergeCell ref="Y294:Z294"/>
    <mergeCell ref="I211:K211"/>
    <mergeCell ref="L211:M211"/>
    <mergeCell ref="O208:O211"/>
    <mergeCell ref="O216:O219"/>
    <mergeCell ref="Q294:U294"/>
    <mergeCell ref="Y291:Z291"/>
    <mergeCell ref="Y292:Z292"/>
    <mergeCell ref="Y293:Z293"/>
    <mergeCell ref="Q287:U287"/>
    <mergeCell ref="Q286:U286"/>
    <mergeCell ref="Q285:U285"/>
    <mergeCell ref="Q284:U284"/>
    <mergeCell ref="V284:X284"/>
    <mergeCell ref="Q276:U276"/>
    <mergeCell ref="V283:X283"/>
    <mergeCell ref="V292:X292"/>
    <mergeCell ref="V293:X293"/>
    <mergeCell ref="Q258:U258"/>
    <mergeCell ref="Q291:U291"/>
    <mergeCell ref="Q278:U278"/>
    <mergeCell ref="Q277:U277"/>
    <mergeCell ref="V263:X263"/>
    <mergeCell ref="Q266:U266"/>
    <mergeCell ref="Y288:Z288"/>
    <mergeCell ref="V281:X281"/>
    <mergeCell ref="Y285:Z285"/>
    <mergeCell ref="Y286:Z286"/>
    <mergeCell ref="Y252:Z252"/>
    <mergeCell ref="Q275:U275"/>
    <mergeCell ref="V273:X273"/>
    <mergeCell ref="V272:X272"/>
    <mergeCell ref="V254:X254"/>
    <mergeCell ref="V244:X244"/>
    <mergeCell ref="V249:X249"/>
    <mergeCell ref="V248:X248"/>
    <mergeCell ref="V268:X268"/>
    <mergeCell ref="Q259:U259"/>
    <mergeCell ref="V256:X256"/>
    <mergeCell ref="Q246:U246"/>
    <mergeCell ref="Q265:U265"/>
    <mergeCell ref="V252:X252"/>
    <mergeCell ref="V253:X253"/>
    <mergeCell ref="Y248:Z248"/>
    <mergeCell ref="V275:X275"/>
    <mergeCell ref="V274:X274"/>
    <mergeCell ref="V262:X262"/>
    <mergeCell ref="V267:X267"/>
    <mergeCell ref="V261:X261"/>
    <mergeCell ref="Y250:Z250"/>
    <mergeCell ref="Q273:U273"/>
    <mergeCell ref="Q272:U272"/>
    <mergeCell ref="Y260:Z260"/>
    <mergeCell ref="Y261:Z261"/>
    <mergeCell ref="Q270:U270"/>
    <mergeCell ref="Q269:U269"/>
    <mergeCell ref="Y258:Z258"/>
    <mergeCell ref="Y259:Z259"/>
    <mergeCell ref="V227:X227"/>
    <mergeCell ref="V209:X209"/>
    <mergeCell ref="V216:X216"/>
    <mergeCell ref="Q243:U243"/>
    <mergeCell ref="Q242:U242"/>
    <mergeCell ref="Y229:Z229"/>
    <mergeCell ref="V255:X255"/>
    <mergeCell ref="Q256:U256"/>
    <mergeCell ref="Q257:U257"/>
    <mergeCell ref="Q255:U255"/>
    <mergeCell ref="Q267:U267"/>
    <mergeCell ref="V258:X258"/>
    <mergeCell ref="V264:X264"/>
    <mergeCell ref="Y230:Z230"/>
    <mergeCell ref="V257:X257"/>
    <mergeCell ref="V266:X266"/>
    <mergeCell ref="V265:X265"/>
    <mergeCell ref="V259:X259"/>
    <mergeCell ref="V260:X260"/>
    <mergeCell ref="Q249:U249"/>
    <mergeCell ref="Q248:U248"/>
    <mergeCell ref="Q247:U247"/>
    <mergeCell ref="Y253:Z253"/>
    <mergeCell ref="V219:X219"/>
    <mergeCell ref="V220:X220"/>
    <mergeCell ref="V221:X221"/>
    <mergeCell ref="Y211:Z211"/>
    <mergeCell ref="Y251:Z251"/>
    <mergeCell ref="Y254:Z254"/>
    <mergeCell ref="Y255:Z255"/>
    <mergeCell ref="Y256:Z256"/>
    <mergeCell ref="Y257:Z257"/>
    <mergeCell ref="V88:X88"/>
    <mergeCell ref="Q110:U110"/>
    <mergeCell ref="V179:X179"/>
    <mergeCell ref="O117:O120"/>
    <mergeCell ref="V190:X190"/>
    <mergeCell ref="V210:X210"/>
    <mergeCell ref="Y117:Z117"/>
    <mergeCell ref="V96:X96"/>
    <mergeCell ref="V207:X207"/>
    <mergeCell ref="Q208:U208"/>
    <mergeCell ref="Q209:U209"/>
    <mergeCell ref="V140:X140"/>
    <mergeCell ref="V139:X139"/>
    <mergeCell ref="Q131:U131"/>
    <mergeCell ref="V127:X127"/>
    <mergeCell ref="V128:X128"/>
    <mergeCell ref="Y140:Z140"/>
    <mergeCell ref="Q141:U141"/>
    <mergeCell ref="V141:X141"/>
    <mergeCell ref="V132:X132"/>
    <mergeCell ref="V125:X125"/>
    <mergeCell ref="V111:X111"/>
    <mergeCell ref="Y176:Z176"/>
    <mergeCell ref="Y175:Z175"/>
    <mergeCell ref="Y178:Z178"/>
    <mergeCell ref="Y148:Z148"/>
    <mergeCell ref="Y170:Z170"/>
    <mergeCell ref="Y172:Z172"/>
    <mergeCell ref="Y277:Z277"/>
    <mergeCell ref="Q91:U91"/>
    <mergeCell ref="Y203:Z203"/>
    <mergeCell ref="Y202:Z202"/>
    <mergeCell ref="Y201:Z201"/>
    <mergeCell ref="Y200:Z200"/>
    <mergeCell ref="Y268:Z268"/>
    <mergeCell ref="Y269:Z269"/>
    <mergeCell ref="Q268:U268"/>
    <mergeCell ref="Q264:U264"/>
    <mergeCell ref="Q263:U263"/>
    <mergeCell ref="Q262:U262"/>
    <mergeCell ref="V204:X204"/>
    <mergeCell ref="V182:X182"/>
    <mergeCell ref="Q174:U174"/>
    <mergeCell ref="Q202:U202"/>
    <mergeCell ref="V193:X193"/>
    <mergeCell ref="Y209:Z209"/>
    <mergeCell ref="Y208:Z208"/>
    <mergeCell ref="V203:X203"/>
    <mergeCell ref="V226:X226"/>
    <mergeCell ref="Y243:Z243"/>
    <mergeCell ref="V230:X230"/>
    <mergeCell ref="Y266:Z266"/>
    <mergeCell ref="Y267:Z267"/>
    <mergeCell ref="V131:X131"/>
    <mergeCell ref="Y130:Z130"/>
    <mergeCell ref="Q204:U204"/>
    <mergeCell ref="Q107:U107"/>
    <mergeCell ref="V198:X198"/>
    <mergeCell ref="V197:X197"/>
    <mergeCell ref="V121:W121"/>
    <mergeCell ref="Y68:Z68"/>
    <mergeCell ref="Y69:Z69"/>
    <mergeCell ref="Y112:Z112"/>
    <mergeCell ref="Q89:U89"/>
    <mergeCell ref="V89:X89"/>
    <mergeCell ref="Y71:Z71"/>
    <mergeCell ref="V105:W105"/>
    <mergeCell ref="Y199:Z199"/>
    <mergeCell ref="Q198:U198"/>
    <mergeCell ref="Q199:U199"/>
    <mergeCell ref="Q206:U206"/>
    <mergeCell ref="Q201:U201"/>
    <mergeCell ref="Q191:U191"/>
    <mergeCell ref="V199:X199"/>
    <mergeCell ref="V191:X191"/>
    <mergeCell ref="V68:X68"/>
    <mergeCell ref="Q68:U68"/>
    <mergeCell ref="V136:X136"/>
    <mergeCell ref="Y90:Z90"/>
    <mergeCell ref="Y132:Z132"/>
    <mergeCell ref="V202:X202"/>
    <mergeCell ref="Y124:Z124"/>
    <mergeCell ref="Y92:Z92"/>
    <mergeCell ref="Q121:U121"/>
    <mergeCell ref="Y121:Z121"/>
    <mergeCell ref="Y114:Z114"/>
    <mergeCell ref="V114:W114"/>
    <mergeCell ref="Y110:Z110"/>
    <mergeCell ref="Y171:Z171"/>
    <mergeCell ref="R81:Z83"/>
    <mergeCell ref="V123:W123"/>
    <mergeCell ref="V122:W122"/>
    <mergeCell ref="V43:X43"/>
    <mergeCell ref="V40:X40"/>
    <mergeCell ref="V285:X285"/>
    <mergeCell ref="V291:X291"/>
    <mergeCell ref="V295:X295"/>
    <mergeCell ref="V298:X298"/>
    <mergeCell ref="V300:X300"/>
    <mergeCell ref="V135:X135"/>
    <mergeCell ref="V137:X137"/>
    <mergeCell ref="Y135:Z135"/>
    <mergeCell ref="Y143:Z143"/>
    <mergeCell ref="Y137:Z137"/>
    <mergeCell ref="Y139:Z139"/>
    <mergeCell ref="Q140:U140"/>
    <mergeCell ref="Y146:Z146"/>
    <mergeCell ref="Y147:Z147"/>
    <mergeCell ref="O81:Q83"/>
    <mergeCell ref="Y72:Z72"/>
    <mergeCell ref="V138:X138"/>
    <mergeCell ref="Y129:Z129"/>
    <mergeCell ref="Q139:U139"/>
    <mergeCell ref="Q180:U180"/>
    <mergeCell ref="V86:X86"/>
    <mergeCell ref="V126:X126"/>
    <mergeCell ref="V93:X93"/>
    <mergeCell ref="V94:X94"/>
    <mergeCell ref="Y74:Z74"/>
    <mergeCell ref="Y101:Z101"/>
    <mergeCell ref="V65:X65"/>
    <mergeCell ref="Y85:Z85"/>
    <mergeCell ref="Q86:U86"/>
    <mergeCell ref="V73:X73"/>
    <mergeCell ref="V54:X54"/>
    <mergeCell ref="Q51:U51"/>
    <mergeCell ref="Q49:U49"/>
    <mergeCell ref="Q50:U50"/>
    <mergeCell ref="Q55:U55"/>
    <mergeCell ref="Q56:U56"/>
    <mergeCell ref="V56:X56"/>
    <mergeCell ref="Q46:U46"/>
    <mergeCell ref="V51:X51"/>
    <mergeCell ref="V52:X52"/>
    <mergeCell ref="V60:X60"/>
    <mergeCell ref="V59:X59"/>
    <mergeCell ref="V58:X58"/>
    <mergeCell ref="V57:X57"/>
    <mergeCell ref="Y64:Z64"/>
    <mergeCell ref="Y61:Z61"/>
    <mergeCell ref="V64:X64"/>
    <mergeCell ref="Q61:U61"/>
    <mergeCell ref="V14:X14"/>
    <mergeCell ref="Y13:Z13"/>
    <mergeCell ref="Y14:Z14"/>
    <mergeCell ref="Y19:Z19"/>
    <mergeCell ref="Y20:Z20"/>
    <mergeCell ref="Q35:U35"/>
    <mergeCell ref="Y35:Z35"/>
    <mergeCell ref="Y36:Z36"/>
    <mergeCell ref="Y37:Z37"/>
    <mergeCell ref="Y48:Z48"/>
    <mergeCell ref="V46:X46"/>
    <mergeCell ref="Y40:Z40"/>
    <mergeCell ref="Y41:Z41"/>
    <mergeCell ref="Y43:Z43"/>
    <mergeCell ref="Y44:Z44"/>
    <mergeCell ref="Q12:U12"/>
    <mergeCell ref="Q13:U13"/>
    <mergeCell ref="Q14:U14"/>
    <mergeCell ref="Q19:U19"/>
    <mergeCell ref="V34:X34"/>
    <mergeCell ref="Q48:U48"/>
    <mergeCell ref="Y15:Z15"/>
    <mergeCell ref="Q18:U18"/>
    <mergeCell ref="Q36:U36"/>
    <mergeCell ref="Q37:U37"/>
    <mergeCell ref="V47:X47"/>
    <mergeCell ref="V21:X21"/>
    <mergeCell ref="Y45:Z45"/>
    <mergeCell ref="Y47:Z47"/>
    <mergeCell ref="V39:X39"/>
    <mergeCell ref="Q38:U38"/>
    <mergeCell ref="Q44:U44"/>
    <mergeCell ref="Q10:U10"/>
    <mergeCell ref="V10:X10"/>
    <mergeCell ref="Y10:Z10"/>
    <mergeCell ref="Q16:U16"/>
    <mergeCell ref="Y59:Z59"/>
    <mergeCell ref="Q11:U11"/>
    <mergeCell ref="Y31:Z31"/>
    <mergeCell ref="Y32:Z32"/>
    <mergeCell ref="Y33:Z33"/>
    <mergeCell ref="Y34:Z34"/>
    <mergeCell ref="Y39:Z39"/>
    <mergeCell ref="Y38:Z38"/>
    <mergeCell ref="V48:X48"/>
    <mergeCell ref="Y55:Z55"/>
    <mergeCell ref="Y53:Z53"/>
    <mergeCell ref="Y27:Z27"/>
    <mergeCell ref="V25:X25"/>
    <mergeCell ref="V35:X35"/>
    <mergeCell ref="V36:X36"/>
    <mergeCell ref="V37:X37"/>
    <mergeCell ref="Q30:U30"/>
    <mergeCell ref="V24:X24"/>
    <mergeCell ref="V22:X22"/>
    <mergeCell ref="Q15:U15"/>
    <mergeCell ref="Y18:Z18"/>
    <mergeCell ref="Y46:Z46"/>
    <mergeCell ref="Y52:Z52"/>
    <mergeCell ref="Y11:Z11"/>
    <mergeCell ref="Y12:Z12"/>
    <mergeCell ref="V11:X11"/>
    <mergeCell ref="V12:X12"/>
    <mergeCell ref="V13:X13"/>
    <mergeCell ref="L16:M16"/>
    <mergeCell ref="L14:M14"/>
    <mergeCell ref="I15:K15"/>
    <mergeCell ref="Y28:Z28"/>
    <mergeCell ref="Q32:U32"/>
    <mergeCell ref="V27:X27"/>
    <mergeCell ref="V26:X26"/>
    <mergeCell ref="Y30:Z30"/>
    <mergeCell ref="V33:X33"/>
    <mergeCell ref="V32:X32"/>
    <mergeCell ref="V31:X31"/>
    <mergeCell ref="I31:K31"/>
    <mergeCell ref="I32:K32"/>
    <mergeCell ref="L18:M18"/>
    <mergeCell ref="Q21:U21"/>
    <mergeCell ref="Q22:U22"/>
    <mergeCell ref="Q23:U23"/>
    <mergeCell ref="Q28:U28"/>
    <mergeCell ref="Q20:U20"/>
    <mergeCell ref="V15:X15"/>
    <mergeCell ref="V16:X16"/>
    <mergeCell ref="V29:X29"/>
    <mergeCell ref="V30:X30"/>
    <mergeCell ref="Y17:Z17"/>
    <mergeCell ref="V23:X23"/>
    <mergeCell ref="Q17:U17"/>
    <mergeCell ref="V28:X28"/>
    <mergeCell ref="Q24:U24"/>
    <mergeCell ref="Q25:U25"/>
    <mergeCell ref="Q26:U26"/>
    <mergeCell ref="I23:K23"/>
    <mergeCell ref="O19:O22"/>
    <mergeCell ref="V192:X192"/>
    <mergeCell ref="L31:M31"/>
    <mergeCell ref="L22:M22"/>
    <mergeCell ref="Y16:Z16"/>
    <mergeCell ref="Y188:Z188"/>
    <mergeCell ref="Q205:U205"/>
    <mergeCell ref="V206:X206"/>
    <mergeCell ref="Y187:Z187"/>
    <mergeCell ref="Q185:U185"/>
    <mergeCell ref="Y183:Z183"/>
    <mergeCell ref="Y186:Z186"/>
    <mergeCell ref="Y185:Z185"/>
    <mergeCell ref="V186:X186"/>
    <mergeCell ref="V185:X185"/>
    <mergeCell ref="Q67:U67"/>
    <mergeCell ref="V67:X67"/>
    <mergeCell ref="Y195:Z195"/>
    <mergeCell ref="Y93:Z93"/>
    <mergeCell ref="Q72:U72"/>
    <mergeCell ref="Y73:Z73"/>
    <mergeCell ref="V74:X74"/>
    <mergeCell ref="Y86:Z86"/>
    <mergeCell ref="V91:X91"/>
    <mergeCell ref="V110:X110"/>
    <mergeCell ref="V76:X76"/>
    <mergeCell ref="Y21:Z21"/>
    <mergeCell ref="Y22:Z22"/>
    <mergeCell ref="Y23:Z23"/>
    <mergeCell ref="V17:X17"/>
    <mergeCell ref="V18:X18"/>
    <mergeCell ref="V19:X19"/>
    <mergeCell ref="V20:X20"/>
    <mergeCell ref="Y54:Z54"/>
    <mergeCell ref="Y56:Z56"/>
    <mergeCell ref="Y57:Z57"/>
    <mergeCell ref="Y24:Z24"/>
    <mergeCell ref="Y25:Z25"/>
    <mergeCell ref="Y26:Z26"/>
    <mergeCell ref="Q29:U29"/>
    <mergeCell ref="Q31:U31"/>
    <mergeCell ref="Y50:Z50"/>
    <mergeCell ref="Y51:Z51"/>
    <mergeCell ref="Y58:Z58"/>
    <mergeCell ref="Y49:Z49"/>
    <mergeCell ref="V55:X55"/>
    <mergeCell ref="V49:X49"/>
    <mergeCell ref="Y60:Z60"/>
    <mergeCell ref="V180:X180"/>
    <mergeCell ref="V142:X142"/>
    <mergeCell ref="V172:X172"/>
    <mergeCell ref="V178:X178"/>
    <mergeCell ref="Q175:U175"/>
    <mergeCell ref="Q176:U176"/>
    <mergeCell ref="V173:X173"/>
    <mergeCell ref="V174:X174"/>
    <mergeCell ref="Q178:U178"/>
    <mergeCell ref="V62:X62"/>
    <mergeCell ref="Q60:U60"/>
    <mergeCell ref="V63:X63"/>
    <mergeCell ref="Q45:U45"/>
    <mergeCell ref="V42:X42"/>
    <mergeCell ref="V44:X44"/>
    <mergeCell ref="V45:X45"/>
    <mergeCell ref="V53:X53"/>
    <mergeCell ref="V181:X181"/>
    <mergeCell ref="V194:X194"/>
    <mergeCell ref="Q194:U194"/>
    <mergeCell ref="V200:X200"/>
    <mergeCell ref="V201:X201"/>
    <mergeCell ref="Y128:Z128"/>
    <mergeCell ref="Y144:Z144"/>
    <mergeCell ref="Y138:Z138"/>
    <mergeCell ref="Y184:Z184"/>
    <mergeCell ref="Y180:Z180"/>
    <mergeCell ref="Y173:Z173"/>
    <mergeCell ref="Y179:Z179"/>
    <mergeCell ref="Q279:U279"/>
    <mergeCell ref="Y207:Z207"/>
    <mergeCell ref="Q128:U128"/>
    <mergeCell ref="Y244:Z244"/>
    <mergeCell ref="Y227:Z227"/>
    <mergeCell ref="Y221:Z221"/>
    <mergeCell ref="Y141:Z141"/>
    <mergeCell ref="Y270:Z270"/>
    <mergeCell ref="Y271:Z271"/>
    <mergeCell ref="Y272:Z272"/>
    <mergeCell ref="Y273:Z273"/>
    <mergeCell ref="Y279:Z279"/>
    <mergeCell ref="Y275:Z275"/>
    <mergeCell ref="Y206:Z206"/>
    <mergeCell ref="Y205:Z205"/>
    <mergeCell ref="Y197:Z197"/>
    <mergeCell ref="Y190:Z190"/>
    <mergeCell ref="V195:X195"/>
    <mergeCell ref="Y242:Z242"/>
    <mergeCell ref="V228:X228"/>
    <mergeCell ref="B228:B231"/>
    <mergeCell ref="E240:M241"/>
    <mergeCell ref="B243:B246"/>
    <mergeCell ref="D228:H228"/>
    <mergeCell ref="D246:H246"/>
    <mergeCell ref="I246:K246"/>
    <mergeCell ref="D242:H242"/>
    <mergeCell ref="V243:X243"/>
    <mergeCell ref="V87:X87"/>
    <mergeCell ref="V70:X70"/>
    <mergeCell ref="Q87:U87"/>
    <mergeCell ref="Y84:Z84"/>
    <mergeCell ref="Y126:Z126"/>
    <mergeCell ref="Q93:U93"/>
    <mergeCell ref="Q123:U123"/>
    <mergeCell ref="Q98:U98"/>
    <mergeCell ref="Q108:U108"/>
    <mergeCell ref="Q118:U118"/>
    <mergeCell ref="Y106:Z106"/>
    <mergeCell ref="Y122:Z122"/>
    <mergeCell ref="V84:X84"/>
    <mergeCell ref="Y91:Z91"/>
    <mergeCell ref="Y119:Z119"/>
    <mergeCell ref="V113:X113"/>
    <mergeCell ref="V85:X85"/>
    <mergeCell ref="Y89:Z89"/>
    <mergeCell ref="V72:X72"/>
    <mergeCell ref="Y198:Z198"/>
    <mergeCell ref="V189:X189"/>
    <mergeCell ref="Y192:Z192"/>
    <mergeCell ref="Y182:Z182"/>
    <mergeCell ref="Y145:Z145"/>
    <mergeCell ref="D243:H243"/>
    <mergeCell ref="I231:K231"/>
    <mergeCell ref="V270:X270"/>
    <mergeCell ref="V269:X269"/>
    <mergeCell ref="Q253:U253"/>
    <mergeCell ref="Q260:U260"/>
    <mergeCell ref="D261:H261"/>
    <mergeCell ref="D259:H259"/>
    <mergeCell ref="Y159:Z159"/>
    <mergeCell ref="Y228:Z228"/>
    <mergeCell ref="Y262:Z262"/>
    <mergeCell ref="Y263:Z263"/>
    <mergeCell ref="D231:H231"/>
    <mergeCell ref="L369:M369"/>
    <mergeCell ref="L366:M366"/>
    <mergeCell ref="I368:K368"/>
    <mergeCell ref="Y265:Z265"/>
    <mergeCell ref="V369:X369"/>
    <mergeCell ref="Y369:Z369"/>
    <mergeCell ref="V367:X367"/>
    <mergeCell ref="D244:H244"/>
    <mergeCell ref="I244:K244"/>
    <mergeCell ref="L244:M244"/>
    <mergeCell ref="O240:Q241"/>
    <mergeCell ref="R240:Z241"/>
    <mergeCell ref="Y231:Z231"/>
    <mergeCell ref="V246:X246"/>
    <mergeCell ref="Y245:Z245"/>
    <mergeCell ref="Y246:Z246"/>
    <mergeCell ref="C235:Z237"/>
    <mergeCell ref="B240:D241"/>
    <mergeCell ref="V282:X282"/>
    <mergeCell ref="L231:M231"/>
    <mergeCell ref="Q231:U231"/>
    <mergeCell ref="I229:K229"/>
    <mergeCell ref="L229:M229"/>
    <mergeCell ref="W394:X394"/>
    <mergeCell ref="U395:V395"/>
    <mergeCell ref="W395:X395"/>
    <mergeCell ref="V242:X242"/>
    <mergeCell ref="O228:O231"/>
    <mergeCell ref="L230:M230"/>
    <mergeCell ref="I230:K230"/>
    <mergeCell ref="I355:K355"/>
    <mergeCell ref="Q318:U318"/>
    <mergeCell ref="V318:X318"/>
    <mergeCell ref="Q337:U337"/>
    <mergeCell ref="Q327:U327"/>
    <mergeCell ref="V327:X327"/>
    <mergeCell ref="Q320:U320"/>
    <mergeCell ref="V320:X320"/>
    <mergeCell ref="V352:X352"/>
    <mergeCell ref="V353:X353"/>
    <mergeCell ref="V280:X280"/>
    <mergeCell ref="V279:X279"/>
    <mergeCell ref="O271:O274"/>
    <mergeCell ref="O275:O278"/>
    <mergeCell ref="Q261:U261"/>
    <mergeCell ref="Q283:U283"/>
    <mergeCell ref="Q282:U282"/>
    <mergeCell ref="Q281:U281"/>
    <mergeCell ref="Q280:U280"/>
    <mergeCell ref="Q271:U271"/>
    <mergeCell ref="V271:X271"/>
    <mergeCell ref="Y354:Z354"/>
    <mergeCell ref="Y341:Z341"/>
    <mergeCell ref="Y347:Z347"/>
    <mergeCell ref="Y348:Z348"/>
    <mergeCell ref="Y349:Z349"/>
    <mergeCell ref="Y350:Z350"/>
    <mergeCell ref="Y352:Z352"/>
    <mergeCell ref="Y353:Z353"/>
    <mergeCell ref="P392:Q392"/>
    <mergeCell ref="R392:S392"/>
    <mergeCell ref="P393:Q393"/>
    <mergeCell ref="R393:S393"/>
    <mergeCell ref="P394:Q394"/>
    <mergeCell ref="V379:X379"/>
    <mergeCell ref="Y358:Z358"/>
    <mergeCell ref="Y359:Z359"/>
    <mergeCell ref="Y357:Z357"/>
    <mergeCell ref="V349:X349"/>
    <mergeCell ref="V358:X358"/>
    <mergeCell ref="V346:X346"/>
    <mergeCell ref="Q347:U347"/>
    <mergeCell ref="Q348:U348"/>
    <mergeCell ref="Q351:U351"/>
    <mergeCell ref="Q352:U352"/>
    <mergeCell ref="Q353:U353"/>
    <mergeCell ref="V351:X351"/>
    <mergeCell ref="Q356:U356"/>
    <mergeCell ref="Q361:U361"/>
    <mergeCell ref="Y378:Z378"/>
    <mergeCell ref="I243:K243"/>
    <mergeCell ref="I242:K242"/>
    <mergeCell ref="Y278:Z278"/>
    <mergeCell ref="I378:K378"/>
    <mergeCell ref="D381:H381"/>
    <mergeCell ref="I381:K381"/>
    <mergeCell ref="L381:M381"/>
    <mergeCell ref="V381:X381"/>
    <mergeCell ref="Y362:Z362"/>
    <mergeCell ref="L364:M364"/>
    <mergeCell ref="D365:H365"/>
    <mergeCell ref="D357:H357"/>
    <mergeCell ref="O378:O381"/>
    <mergeCell ref="Y366:Z366"/>
    <mergeCell ref="V368:X368"/>
    <mergeCell ref="D362:H362"/>
    <mergeCell ref="I362:K362"/>
    <mergeCell ref="L362:M362"/>
    <mergeCell ref="D363:H363"/>
    <mergeCell ref="I363:K363"/>
    <mergeCell ref="I365:K365"/>
    <mergeCell ref="L365:M365"/>
    <mergeCell ref="O354:O357"/>
    <mergeCell ref="Q360:U360"/>
    <mergeCell ref="O358:O361"/>
    <mergeCell ref="L356:M356"/>
    <mergeCell ref="D366:H366"/>
    <mergeCell ref="Q358:U358"/>
    <mergeCell ref="V359:X359"/>
    <mergeCell ref="V360:X360"/>
    <mergeCell ref="Q274:U274"/>
    <mergeCell ref="Q379:U379"/>
    <mergeCell ref="Q340:U340"/>
    <mergeCell ref="D206:H206"/>
    <mergeCell ref="L210:M210"/>
    <mergeCell ref="Q214:U214"/>
    <mergeCell ref="O212:O215"/>
    <mergeCell ref="L213:M213"/>
    <mergeCell ref="I216:K216"/>
    <mergeCell ref="I206:K206"/>
    <mergeCell ref="L207:M207"/>
    <mergeCell ref="L352:M352"/>
    <mergeCell ref="D370:H370"/>
    <mergeCell ref="I370:K370"/>
    <mergeCell ref="L370:M370"/>
    <mergeCell ref="D371:H371"/>
    <mergeCell ref="I371:K371"/>
    <mergeCell ref="L371:M371"/>
    <mergeCell ref="D372:H372"/>
    <mergeCell ref="I372:K372"/>
    <mergeCell ref="L372:M372"/>
    <mergeCell ref="L262:M262"/>
    <mergeCell ref="I260:K260"/>
    <mergeCell ref="L260:M260"/>
    <mergeCell ref="D262:H262"/>
    <mergeCell ref="O251:O254"/>
    <mergeCell ref="Q250:U250"/>
    <mergeCell ref="O255:O258"/>
    <mergeCell ref="Q254:U254"/>
    <mergeCell ref="Q252:U252"/>
    <mergeCell ref="Q251:U251"/>
    <mergeCell ref="D254:H254"/>
    <mergeCell ref="I253:K253"/>
    <mergeCell ref="L254:M254"/>
    <mergeCell ref="D373:H373"/>
    <mergeCell ref="I373:K373"/>
    <mergeCell ref="L373:M373"/>
    <mergeCell ref="D374:H374"/>
    <mergeCell ref="D341:H341"/>
    <mergeCell ref="Q210:U210"/>
    <mergeCell ref="Q211:U211"/>
    <mergeCell ref="L243:M243"/>
    <mergeCell ref="I228:K228"/>
    <mergeCell ref="D230:H230"/>
    <mergeCell ref="A403:B403"/>
    <mergeCell ref="F389:I390"/>
    <mergeCell ref="F392:G392"/>
    <mergeCell ref="H392:I392"/>
    <mergeCell ref="L376:M376"/>
    <mergeCell ref="R395:S395"/>
    <mergeCell ref="P396:Q396"/>
    <mergeCell ref="B378:B381"/>
    <mergeCell ref="K392:L392"/>
    <mergeCell ref="P402:Q402"/>
    <mergeCell ref="R402:S402"/>
    <mergeCell ref="P403:Q403"/>
    <mergeCell ref="R403:S403"/>
    <mergeCell ref="P401:Q401"/>
    <mergeCell ref="R398:S398"/>
    <mergeCell ref="P398:Q398"/>
    <mergeCell ref="O263:O266"/>
    <mergeCell ref="O370:O373"/>
    <mergeCell ref="U403:V403"/>
    <mergeCell ref="L261:M261"/>
    <mergeCell ref="D260:H260"/>
    <mergeCell ref="I262:K262"/>
    <mergeCell ref="Y363:Z363"/>
    <mergeCell ref="Y364:Z364"/>
    <mergeCell ref="Y365:Z365"/>
    <mergeCell ref="Y361:Z361"/>
    <mergeCell ref="Y381:Z381"/>
    <mergeCell ref="Y376:Z376"/>
    <mergeCell ref="U394:V394"/>
    <mergeCell ref="R397:S397"/>
    <mergeCell ref="R396:S396"/>
    <mergeCell ref="V365:X365"/>
    <mergeCell ref="V378:X378"/>
    <mergeCell ref="Q380:U380"/>
    <mergeCell ref="V380:X380"/>
    <mergeCell ref="V363:X363"/>
    <mergeCell ref="V364:X364"/>
    <mergeCell ref="Q364:U364"/>
    <mergeCell ref="V362:X362"/>
    <mergeCell ref="P389:S390"/>
    <mergeCell ref="U396:V396"/>
    <mergeCell ref="W396:X396"/>
    <mergeCell ref="R394:S394"/>
    <mergeCell ref="P395:Q395"/>
    <mergeCell ref="P397:Q397"/>
    <mergeCell ref="V370:X370"/>
    <mergeCell ref="V377:X377"/>
    <mergeCell ref="Y377:Z377"/>
    <mergeCell ref="Q376:U376"/>
    <mergeCell ref="V376:X376"/>
    <mergeCell ref="U397:V397"/>
    <mergeCell ref="W397:X397"/>
    <mergeCell ref="Y379:Z379"/>
    <mergeCell ref="W401:X401"/>
    <mergeCell ref="V361:X361"/>
    <mergeCell ref="V372:X372"/>
    <mergeCell ref="W392:X392"/>
    <mergeCell ref="U393:V393"/>
    <mergeCell ref="W393:X393"/>
    <mergeCell ref="A399:B399"/>
    <mergeCell ref="C392:D392"/>
    <mergeCell ref="Y380:Z380"/>
    <mergeCell ref="U402:V402"/>
    <mergeCell ref="W402:X402"/>
    <mergeCell ref="U398:V398"/>
    <mergeCell ref="W398:X398"/>
    <mergeCell ref="P399:Q399"/>
    <mergeCell ref="R399:S399"/>
    <mergeCell ref="R401:S401"/>
    <mergeCell ref="A398:B398"/>
    <mergeCell ref="F398:G398"/>
    <mergeCell ref="K398:L398"/>
    <mergeCell ref="P400:Q400"/>
    <mergeCell ref="R400:S400"/>
    <mergeCell ref="U399:V399"/>
    <mergeCell ref="W399:X399"/>
    <mergeCell ref="U401:V401"/>
    <mergeCell ref="A401:B401"/>
    <mergeCell ref="A402:B402"/>
    <mergeCell ref="A397:B397"/>
    <mergeCell ref="A392:B392"/>
    <mergeCell ref="A393:B393"/>
    <mergeCell ref="A394:B394"/>
    <mergeCell ref="A395:B395"/>
    <mergeCell ref="A396:B396"/>
    <mergeCell ref="W403:X403"/>
    <mergeCell ref="U389:X390"/>
    <mergeCell ref="U392:V392"/>
    <mergeCell ref="V366:X366"/>
    <mergeCell ref="V294:X294"/>
    <mergeCell ref="V299:X299"/>
    <mergeCell ref="Y276:Z276"/>
    <mergeCell ref="Y264:Z264"/>
    <mergeCell ref="Y274:Z274"/>
    <mergeCell ref="D274:H274"/>
    <mergeCell ref="I274:K274"/>
    <mergeCell ref="L273:M273"/>
    <mergeCell ref="I271:K271"/>
    <mergeCell ref="L271:M271"/>
    <mergeCell ref="D273:H273"/>
    <mergeCell ref="I273:K273"/>
    <mergeCell ref="D265:H265"/>
    <mergeCell ref="I265:K265"/>
    <mergeCell ref="L265:M265"/>
    <mergeCell ref="D270:H270"/>
    <mergeCell ref="I270:K270"/>
    <mergeCell ref="L270:M270"/>
    <mergeCell ref="D268:H268"/>
    <mergeCell ref="I268:K268"/>
    <mergeCell ref="L268:M268"/>
    <mergeCell ref="D264:H264"/>
    <mergeCell ref="I264:K264"/>
    <mergeCell ref="O279:O282"/>
    <mergeCell ref="O283:O286"/>
    <mergeCell ref="O287:O290"/>
    <mergeCell ref="L266:M266"/>
    <mergeCell ref="L267:M267"/>
    <mergeCell ref="L248:M248"/>
    <mergeCell ref="D249:H249"/>
    <mergeCell ref="I249:K249"/>
    <mergeCell ref="L264:M264"/>
    <mergeCell ref="D263:H263"/>
    <mergeCell ref="I263:K263"/>
    <mergeCell ref="L263:M263"/>
    <mergeCell ref="O247:O250"/>
    <mergeCell ref="L252:M252"/>
    <mergeCell ref="D251:H251"/>
    <mergeCell ref="L249:M249"/>
    <mergeCell ref="I247:K247"/>
    <mergeCell ref="L247:M247"/>
    <mergeCell ref="I254:K254"/>
    <mergeCell ref="D250:H250"/>
    <mergeCell ref="I251:K251"/>
    <mergeCell ref="I259:K259"/>
    <mergeCell ref="D253:H253"/>
    <mergeCell ref="L259:M259"/>
    <mergeCell ref="D247:H247"/>
    <mergeCell ref="L274:M274"/>
    <mergeCell ref="D272:H272"/>
    <mergeCell ref="D278:H278"/>
    <mergeCell ref="I278:K278"/>
    <mergeCell ref="L278:M278"/>
    <mergeCell ref="D276:H276"/>
    <mergeCell ref="I276:K276"/>
    <mergeCell ref="L276:M276"/>
    <mergeCell ref="I272:K272"/>
    <mergeCell ref="L272:M272"/>
    <mergeCell ref="I277:K277"/>
    <mergeCell ref="D284:H284"/>
    <mergeCell ref="I284:K284"/>
    <mergeCell ref="L284:M284"/>
    <mergeCell ref="I280:K280"/>
    <mergeCell ref="D279:H279"/>
    <mergeCell ref="I279:K279"/>
    <mergeCell ref="L279:M279"/>
    <mergeCell ref="I275:K275"/>
    <mergeCell ref="D283:H283"/>
    <mergeCell ref="I283:K283"/>
    <mergeCell ref="L283:M283"/>
    <mergeCell ref="D281:H281"/>
    <mergeCell ref="I281:K281"/>
    <mergeCell ref="L281:M281"/>
    <mergeCell ref="D282:H282"/>
    <mergeCell ref="I282:K282"/>
    <mergeCell ref="D280:H280"/>
    <mergeCell ref="D277:H277"/>
    <mergeCell ref="D275:H275"/>
    <mergeCell ref="I300:K300"/>
    <mergeCell ref="L300:M300"/>
    <mergeCell ref="L280:M280"/>
    <mergeCell ref="L282:M282"/>
    <mergeCell ref="D289:H289"/>
    <mergeCell ref="L275:M275"/>
    <mergeCell ref="L277:M277"/>
    <mergeCell ref="L341:M341"/>
    <mergeCell ref="I337:K337"/>
    <mergeCell ref="L337:M337"/>
    <mergeCell ref="D335:H335"/>
    <mergeCell ref="L336:M336"/>
    <mergeCell ref="L334:M334"/>
    <mergeCell ref="L318:M318"/>
    <mergeCell ref="D303:H303"/>
    <mergeCell ref="I303:K303"/>
    <mergeCell ref="L303:M303"/>
    <mergeCell ref="D304:H304"/>
    <mergeCell ref="I304:K304"/>
    <mergeCell ref="L304:M304"/>
    <mergeCell ref="D305:H305"/>
    <mergeCell ref="D320:H320"/>
    <mergeCell ref="D333:H333"/>
    <mergeCell ref="I305:K305"/>
    <mergeCell ref="L305:M305"/>
    <mergeCell ref="I331:K331"/>
    <mergeCell ref="L331:M331"/>
    <mergeCell ref="D337:H337"/>
    <mergeCell ref="E314:M316"/>
    <mergeCell ref="L302:M302"/>
    <mergeCell ref="D287:H287"/>
    <mergeCell ref="D297:H297"/>
    <mergeCell ref="O338:O341"/>
    <mergeCell ref="D271:H271"/>
    <mergeCell ref="B271:B274"/>
    <mergeCell ref="B267:B270"/>
    <mergeCell ref="B263:B266"/>
    <mergeCell ref="B259:B262"/>
    <mergeCell ref="B251:B254"/>
    <mergeCell ref="O267:O270"/>
    <mergeCell ref="O259:O262"/>
    <mergeCell ref="D329:H329"/>
    <mergeCell ref="L324:M324"/>
    <mergeCell ref="I322:K322"/>
    <mergeCell ref="L322:M322"/>
    <mergeCell ref="D323:H323"/>
    <mergeCell ref="D330:H330"/>
    <mergeCell ref="L339:M339"/>
    <mergeCell ref="D340:H340"/>
    <mergeCell ref="I340:K340"/>
    <mergeCell ref="L340:M340"/>
    <mergeCell ref="I323:K323"/>
    <mergeCell ref="L323:M323"/>
    <mergeCell ref="I334:K334"/>
    <mergeCell ref="D332:H332"/>
    <mergeCell ref="I332:K332"/>
    <mergeCell ref="L332:M332"/>
    <mergeCell ref="I336:K336"/>
    <mergeCell ref="B330:B333"/>
    <mergeCell ref="B334:B337"/>
    <mergeCell ref="O334:O337"/>
    <mergeCell ref="D267:H267"/>
    <mergeCell ref="D334:H334"/>
    <mergeCell ref="D331:H331"/>
    <mergeCell ref="B350:B353"/>
    <mergeCell ref="B275:B278"/>
    <mergeCell ref="B279:B282"/>
    <mergeCell ref="B283:B286"/>
    <mergeCell ref="B287:B290"/>
    <mergeCell ref="B374:B377"/>
    <mergeCell ref="B370:B373"/>
    <mergeCell ref="Q370:U370"/>
    <mergeCell ref="I377:K377"/>
    <mergeCell ref="L377:M377"/>
    <mergeCell ref="Q377:U377"/>
    <mergeCell ref="Q343:U343"/>
    <mergeCell ref="Q349:U349"/>
    <mergeCell ref="I361:K361"/>
    <mergeCell ref="D361:H361"/>
    <mergeCell ref="B346:B349"/>
    <mergeCell ref="Q345:U345"/>
    <mergeCell ref="B342:B345"/>
    <mergeCell ref="Q346:U346"/>
    <mergeCell ref="Q342:U342"/>
    <mergeCell ref="Q344:U344"/>
    <mergeCell ref="B362:B365"/>
    <mergeCell ref="O362:O365"/>
    <mergeCell ref="Q362:U362"/>
    <mergeCell ref="Q363:U363"/>
    <mergeCell ref="Q365:U365"/>
    <mergeCell ref="D351:H351"/>
    <mergeCell ref="I351:K351"/>
    <mergeCell ref="I369:K369"/>
    <mergeCell ref="D369:H369"/>
    <mergeCell ref="I367:K367"/>
    <mergeCell ref="L354:M354"/>
    <mergeCell ref="B366:B369"/>
    <mergeCell ref="B354:B357"/>
    <mergeCell ref="D368:H368"/>
    <mergeCell ref="L367:M367"/>
    <mergeCell ref="Q369:U369"/>
    <mergeCell ref="I354:K354"/>
    <mergeCell ref="I366:K366"/>
    <mergeCell ref="O374:O377"/>
    <mergeCell ref="V371:X371"/>
    <mergeCell ref="V373:X373"/>
    <mergeCell ref="V374:X374"/>
    <mergeCell ref="Q374:U374"/>
    <mergeCell ref="D377:H377"/>
    <mergeCell ref="Q359:U359"/>
    <mergeCell ref="Q366:U366"/>
    <mergeCell ref="Q368:U368"/>
    <mergeCell ref="L374:M374"/>
    <mergeCell ref="I374:K374"/>
    <mergeCell ref="D375:H375"/>
    <mergeCell ref="I375:K375"/>
    <mergeCell ref="L375:M375"/>
    <mergeCell ref="Q373:U373"/>
    <mergeCell ref="D376:H376"/>
    <mergeCell ref="I376:K376"/>
    <mergeCell ref="Q375:U375"/>
    <mergeCell ref="V375:X375"/>
    <mergeCell ref="D367:H367"/>
    <mergeCell ref="Q372:U372"/>
    <mergeCell ref="Q371:U371"/>
    <mergeCell ref="I357:K357"/>
    <mergeCell ref="Q357:U357"/>
    <mergeCell ref="V355:X355"/>
    <mergeCell ref="D343:H343"/>
    <mergeCell ref="O350:O353"/>
    <mergeCell ref="V335:X335"/>
    <mergeCell ref="Y335:Z335"/>
    <mergeCell ref="V347:X347"/>
    <mergeCell ref="V341:X341"/>
    <mergeCell ref="I342:K342"/>
    <mergeCell ref="D342:H342"/>
    <mergeCell ref="L345:M345"/>
    <mergeCell ref="Q335:U335"/>
    <mergeCell ref="V354:X354"/>
    <mergeCell ref="V356:X356"/>
    <mergeCell ref="V357:X357"/>
    <mergeCell ref="Y355:Z355"/>
    <mergeCell ref="Y345:Z345"/>
    <mergeCell ref="Q355:U355"/>
    <mergeCell ref="Q367:U367"/>
    <mergeCell ref="O366:O369"/>
    <mergeCell ref="L343:M343"/>
    <mergeCell ref="I343:K343"/>
    <mergeCell ref="Y342:Z342"/>
    <mergeCell ref="Y340:Z340"/>
    <mergeCell ref="Y368:Z368"/>
    <mergeCell ref="V350:X350"/>
    <mergeCell ref="L368:M368"/>
    <mergeCell ref="L363:M363"/>
    <mergeCell ref="D364:H364"/>
    <mergeCell ref="I364:K364"/>
    <mergeCell ref="L351:M351"/>
    <mergeCell ref="D353:H353"/>
    <mergeCell ref="L355:M355"/>
    <mergeCell ref="D355:H355"/>
    <mergeCell ref="B338:B341"/>
    <mergeCell ref="B358:B361"/>
    <mergeCell ref="I358:K358"/>
    <mergeCell ref="L358:M358"/>
    <mergeCell ref="Y351:Z351"/>
    <mergeCell ref="V343:X343"/>
    <mergeCell ref="Y343:Z343"/>
    <mergeCell ref="V342:X342"/>
    <mergeCell ref="L353:M353"/>
    <mergeCell ref="D358:H358"/>
    <mergeCell ref="L360:M360"/>
    <mergeCell ref="I360:K360"/>
    <mergeCell ref="D360:H360"/>
    <mergeCell ref="L359:M359"/>
    <mergeCell ref="I359:K359"/>
    <mergeCell ref="D359:H359"/>
    <mergeCell ref="L361:M361"/>
    <mergeCell ref="I356:K356"/>
    <mergeCell ref="Q341:U341"/>
    <mergeCell ref="V344:X344"/>
    <mergeCell ref="D338:H338"/>
    <mergeCell ref="I338:K338"/>
    <mergeCell ref="I341:K341"/>
    <mergeCell ref="L342:M342"/>
    <mergeCell ref="D346:H346"/>
    <mergeCell ref="V340:X340"/>
    <mergeCell ref="L347:M347"/>
    <mergeCell ref="D347:H347"/>
    <mergeCell ref="I345:K345"/>
    <mergeCell ref="D345:H345"/>
    <mergeCell ref="L344:M344"/>
    <mergeCell ref="L338:M338"/>
    <mergeCell ref="B326:B329"/>
    <mergeCell ref="B322:B325"/>
    <mergeCell ref="V329:X329"/>
    <mergeCell ref="Y329:Z329"/>
    <mergeCell ref="D326:H326"/>
    <mergeCell ref="L327:M327"/>
    <mergeCell ref="L328:M328"/>
    <mergeCell ref="B318:B321"/>
    <mergeCell ref="Y330:Z330"/>
    <mergeCell ref="Q331:U331"/>
    <mergeCell ref="I330:K330"/>
    <mergeCell ref="L330:M330"/>
    <mergeCell ref="Y318:Z318"/>
    <mergeCell ref="Y326:Z326"/>
    <mergeCell ref="Q326:U326"/>
    <mergeCell ref="Q328:U328"/>
    <mergeCell ref="Q321:U321"/>
    <mergeCell ref="V321:X321"/>
    <mergeCell ref="Y321:Z321"/>
    <mergeCell ref="Q325:U325"/>
    <mergeCell ref="Q322:U322"/>
    <mergeCell ref="V322:X322"/>
    <mergeCell ref="Q324:U324"/>
    <mergeCell ref="V324:X324"/>
    <mergeCell ref="O326:O329"/>
    <mergeCell ref="Y328:Z328"/>
    <mergeCell ref="O318:O321"/>
    <mergeCell ref="Y320:Z320"/>
    <mergeCell ref="D318:H318"/>
    <mergeCell ref="I319:K319"/>
    <mergeCell ref="D327:H327"/>
    <mergeCell ref="D319:H319"/>
    <mergeCell ref="Y325:Z325"/>
    <mergeCell ref="Y322:Z322"/>
    <mergeCell ref="Q323:U323"/>
    <mergeCell ref="V323:X323"/>
    <mergeCell ref="Y323:Z323"/>
    <mergeCell ref="O322:O325"/>
    <mergeCell ref="Q329:U329"/>
    <mergeCell ref="V328:X328"/>
    <mergeCell ref="Y324:Z324"/>
    <mergeCell ref="V326:X326"/>
    <mergeCell ref="Y327:Z327"/>
    <mergeCell ref="D325:H325"/>
    <mergeCell ref="D321:H321"/>
    <mergeCell ref="I321:K321"/>
    <mergeCell ref="L321:M321"/>
    <mergeCell ref="D324:H324"/>
    <mergeCell ref="I324:K324"/>
    <mergeCell ref="D328:H328"/>
    <mergeCell ref="I328:K328"/>
    <mergeCell ref="V325:X325"/>
    <mergeCell ref="I329:K329"/>
    <mergeCell ref="D322:H322"/>
    <mergeCell ref="L320:M320"/>
    <mergeCell ref="I326:K326"/>
    <mergeCell ref="Y319:Z319"/>
    <mergeCell ref="I320:K320"/>
    <mergeCell ref="Q304:U304"/>
    <mergeCell ref="I317:K317"/>
    <mergeCell ref="L317:M317"/>
    <mergeCell ref="V305:X305"/>
    <mergeCell ref="D317:H317"/>
    <mergeCell ref="L306:M306"/>
    <mergeCell ref="B303:B306"/>
    <mergeCell ref="Q306:U306"/>
    <mergeCell ref="Q305:U305"/>
    <mergeCell ref="B299:B302"/>
    <mergeCell ref="B295:B298"/>
    <mergeCell ref="B291:B294"/>
    <mergeCell ref="D292:H292"/>
    <mergeCell ref="I301:K301"/>
    <mergeCell ref="N314:P316"/>
    <mergeCell ref="Q314:Y316"/>
    <mergeCell ref="O303:O306"/>
    <mergeCell ref="V304:X304"/>
    <mergeCell ref="V303:X303"/>
    <mergeCell ref="I293:K293"/>
    <mergeCell ref="L293:M293"/>
    <mergeCell ref="O299:O302"/>
    <mergeCell ref="D301:H301"/>
    <mergeCell ref="D296:H296"/>
    <mergeCell ref="I296:K296"/>
    <mergeCell ref="D298:H298"/>
    <mergeCell ref="Q298:U298"/>
    <mergeCell ref="Q297:U297"/>
    <mergeCell ref="D300:H300"/>
    <mergeCell ref="Y299:Z299"/>
    <mergeCell ref="D302:H302"/>
    <mergeCell ref="I302:K302"/>
    <mergeCell ref="Q302:U302"/>
    <mergeCell ref="Q301:U301"/>
    <mergeCell ref="I299:K299"/>
    <mergeCell ref="L299:M299"/>
    <mergeCell ref="D299:H299"/>
    <mergeCell ref="O291:O294"/>
    <mergeCell ref="D288:H288"/>
    <mergeCell ref="I288:K288"/>
    <mergeCell ref="D291:H291"/>
    <mergeCell ref="I291:K291"/>
    <mergeCell ref="D294:H294"/>
    <mergeCell ref="O295:O298"/>
    <mergeCell ref="Y289:Z289"/>
    <mergeCell ref="I294:K294"/>
    <mergeCell ref="L294:M294"/>
    <mergeCell ref="I298:K298"/>
    <mergeCell ref="V288:X288"/>
    <mergeCell ref="Q293:U293"/>
    <mergeCell ref="Q292:U292"/>
    <mergeCell ref="D293:H293"/>
    <mergeCell ref="L295:M295"/>
    <mergeCell ref="L301:M301"/>
    <mergeCell ref="Q290:U290"/>
    <mergeCell ref="Q289:U289"/>
    <mergeCell ref="Q288:U288"/>
    <mergeCell ref="Y296:Z296"/>
    <mergeCell ref="V289:X289"/>
    <mergeCell ref="Y290:Z290"/>
    <mergeCell ref="V290:X290"/>
    <mergeCell ref="L298:M298"/>
    <mergeCell ref="I295:K295"/>
    <mergeCell ref="L296:M296"/>
    <mergeCell ref="I297:K297"/>
    <mergeCell ref="L291:M291"/>
    <mergeCell ref="L290:M290"/>
    <mergeCell ref="L288:M288"/>
    <mergeCell ref="I289:K289"/>
    <mergeCell ref="L289:M289"/>
    <mergeCell ref="I285:K285"/>
    <mergeCell ref="L285:M285"/>
    <mergeCell ref="D286:H286"/>
    <mergeCell ref="L297:M297"/>
    <mergeCell ref="D290:H290"/>
    <mergeCell ref="I290:K290"/>
    <mergeCell ref="D295:H295"/>
    <mergeCell ref="I292:K292"/>
    <mergeCell ref="L292:M292"/>
    <mergeCell ref="I287:K287"/>
    <mergeCell ref="L287:M287"/>
    <mergeCell ref="L286:M286"/>
    <mergeCell ref="I286:K286"/>
    <mergeCell ref="D285:H285"/>
    <mergeCell ref="V287:X287"/>
    <mergeCell ref="V286:X286"/>
    <mergeCell ref="B255:B258"/>
    <mergeCell ref="D255:H255"/>
    <mergeCell ref="I255:K255"/>
    <mergeCell ref="L255:M255"/>
    <mergeCell ref="L257:M257"/>
    <mergeCell ref="D269:H269"/>
    <mergeCell ref="I269:K269"/>
    <mergeCell ref="L269:M269"/>
    <mergeCell ref="I266:K266"/>
    <mergeCell ref="I267:K267"/>
    <mergeCell ref="I261:K261"/>
    <mergeCell ref="D266:H266"/>
    <mergeCell ref="L245:M245"/>
    <mergeCell ref="D256:H256"/>
    <mergeCell ref="I256:K256"/>
    <mergeCell ref="L256:M256"/>
    <mergeCell ref="D257:H257"/>
    <mergeCell ref="I257:K257"/>
    <mergeCell ref="D258:H258"/>
    <mergeCell ref="I258:K258"/>
    <mergeCell ref="L258:M258"/>
    <mergeCell ref="I250:K250"/>
    <mergeCell ref="L250:M250"/>
    <mergeCell ref="D248:H248"/>
    <mergeCell ref="I248:K248"/>
    <mergeCell ref="L251:M251"/>
    <mergeCell ref="L253:M253"/>
    <mergeCell ref="D252:H252"/>
    <mergeCell ref="I252:K252"/>
    <mergeCell ref="B247:B250"/>
    <mergeCell ref="D245:H245"/>
    <mergeCell ref="I245:K245"/>
    <mergeCell ref="D226:H226"/>
    <mergeCell ref="V225:X225"/>
    <mergeCell ref="V222:X222"/>
    <mergeCell ref="Y223:Z223"/>
    <mergeCell ref="Q216:U216"/>
    <mergeCell ref="Q219:U219"/>
    <mergeCell ref="D217:H217"/>
    <mergeCell ref="I217:K217"/>
    <mergeCell ref="D218:H218"/>
    <mergeCell ref="Q220:U220"/>
    <mergeCell ref="I221:K221"/>
    <mergeCell ref="L221:M221"/>
    <mergeCell ref="I218:K218"/>
    <mergeCell ref="L218:M218"/>
    <mergeCell ref="Q221:U221"/>
    <mergeCell ref="Q218:U218"/>
    <mergeCell ref="L222:M222"/>
    <mergeCell ref="L217:M217"/>
    <mergeCell ref="D219:H219"/>
    <mergeCell ref="I219:K219"/>
    <mergeCell ref="V224:X224"/>
    <mergeCell ref="V218:X218"/>
    <mergeCell ref="L216:M216"/>
    <mergeCell ref="L223:M223"/>
    <mergeCell ref="D229:H229"/>
    <mergeCell ref="I226:K226"/>
    <mergeCell ref="D225:H225"/>
    <mergeCell ref="I225:K225"/>
    <mergeCell ref="D213:H213"/>
    <mergeCell ref="Y220:Z220"/>
    <mergeCell ref="Y219:Z219"/>
    <mergeCell ref="Y216:Z216"/>
    <mergeCell ref="V217:X217"/>
    <mergeCell ref="Q213:U213"/>
    <mergeCell ref="V213:X213"/>
    <mergeCell ref="D208:H208"/>
    <mergeCell ref="L208:M208"/>
    <mergeCell ref="I208:K208"/>
    <mergeCell ref="V124:W124"/>
    <mergeCell ref="Q195:U195"/>
    <mergeCell ref="V188:X188"/>
    <mergeCell ref="Q187:U187"/>
    <mergeCell ref="Y191:Z191"/>
    <mergeCell ref="Y142:Z142"/>
    <mergeCell ref="Y125:Z125"/>
    <mergeCell ref="L139:M139"/>
    <mergeCell ref="I143:K143"/>
    <mergeCell ref="I142:K142"/>
    <mergeCell ref="O125:O128"/>
    <mergeCell ref="O129:O132"/>
    <mergeCell ref="D191:H191"/>
    <mergeCell ref="L206:M206"/>
    <mergeCell ref="I207:K207"/>
    <mergeCell ref="D207:H207"/>
    <mergeCell ref="Q183:U183"/>
    <mergeCell ref="D195:H195"/>
    <mergeCell ref="D193:H193"/>
    <mergeCell ref="D205:H205"/>
    <mergeCell ref="D188:H188"/>
    <mergeCell ref="I188:K188"/>
    <mergeCell ref="L188:M188"/>
    <mergeCell ref="L190:M190"/>
    <mergeCell ref="I198:K198"/>
    <mergeCell ref="L205:M205"/>
    <mergeCell ref="L193:M193"/>
    <mergeCell ref="D194:H194"/>
    <mergeCell ref="I194:K194"/>
    <mergeCell ref="D192:H192"/>
    <mergeCell ref="I192:K192"/>
    <mergeCell ref="L192:M192"/>
    <mergeCell ref="L194:M194"/>
    <mergeCell ref="D196:H196"/>
    <mergeCell ref="I196:K196"/>
    <mergeCell ref="D199:H199"/>
    <mergeCell ref="I199:K199"/>
    <mergeCell ref="D200:H200"/>
    <mergeCell ref="I200:K200"/>
    <mergeCell ref="L200:M200"/>
    <mergeCell ref="L201:M201"/>
    <mergeCell ref="I191:K191"/>
    <mergeCell ref="L191:M191"/>
    <mergeCell ref="D202:H202"/>
    <mergeCell ref="I189:K189"/>
    <mergeCell ref="D190:H190"/>
    <mergeCell ref="D203:H203"/>
    <mergeCell ref="I190:K190"/>
    <mergeCell ref="B208:B211"/>
    <mergeCell ref="D209:H209"/>
    <mergeCell ref="I209:K209"/>
    <mergeCell ref="L209:M209"/>
    <mergeCell ref="D210:H210"/>
    <mergeCell ref="B216:B219"/>
    <mergeCell ref="D216:H216"/>
    <mergeCell ref="B224:B227"/>
    <mergeCell ref="I210:K210"/>
    <mergeCell ref="B212:B215"/>
    <mergeCell ref="D212:H212"/>
    <mergeCell ref="I212:K212"/>
    <mergeCell ref="L212:M212"/>
    <mergeCell ref="D222:H222"/>
    <mergeCell ref="L227:M227"/>
    <mergeCell ref="D215:H215"/>
    <mergeCell ref="I222:K222"/>
    <mergeCell ref="L219:M219"/>
    <mergeCell ref="D227:H227"/>
    <mergeCell ref="D220:H220"/>
    <mergeCell ref="I220:K220"/>
    <mergeCell ref="L220:M220"/>
    <mergeCell ref="D223:H223"/>
    <mergeCell ref="I223:K223"/>
    <mergeCell ref="B220:B223"/>
    <mergeCell ref="L226:M226"/>
    <mergeCell ref="I215:K215"/>
    <mergeCell ref="L215:M215"/>
    <mergeCell ref="D214:H214"/>
    <mergeCell ref="D211:H211"/>
    <mergeCell ref="D221:H221"/>
    <mergeCell ref="D224:H224"/>
    <mergeCell ref="B204:B207"/>
    <mergeCell ref="D204:H204"/>
    <mergeCell ref="I204:K204"/>
    <mergeCell ref="L204:M204"/>
    <mergeCell ref="D180:H180"/>
    <mergeCell ref="L179:M179"/>
    <mergeCell ref="D85:H85"/>
    <mergeCell ref="D89:H89"/>
    <mergeCell ref="I169:K169"/>
    <mergeCell ref="D110:H110"/>
    <mergeCell ref="D111:H111"/>
    <mergeCell ref="I138:K138"/>
    <mergeCell ref="D159:H159"/>
    <mergeCell ref="I159:K159"/>
    <mergeCell ref="I109:K109"/>
    <mergeCell ref="L104:M104"/>
    <mergeCell ref="L148:M148"/>
    <mergeCell ref="D170:H170"/>
    <mergeCell ref="B188:B191"/>
    <mergeCell ref="I203:K203"/>
    <mergeCell ref="L203:M203"/>
    <mergeCell ref="D201:H201"/>
    <mergeCell ref="I201:K201"/>
    <mergeCell ref="B192:B195"/>
    <mergeCell ref="B196:B199"/>
    <mergeCell ref="L196:M196"/>
    <mergeCell ref="B101:B104"/>
    <mergeCell ref="L96:M96"/>
    <mergeCell ref="L97:M97"/>
    <mergeCell ref="L98:M98"/>
    <mergeCell ref="B180:B183"/>
    <mergeCell ref="I202:K202"/>
    <mergeCell ref="B200:B203"/>
    <mergeCell ref="D181:H181"/>
    <mergeCell ref="I181:K181"/>
    <mergeCell ref="L115:M115"/>
    <mergeCell ref="L126:M126"/>
    <mergeCell ref="I113:K113"/>
    <mergeCell ref="D101:H101"/>
    <mergeCell ref="D102:H102"/>
    <mergeCell ref="D131:H131"/>
    <mergeCell ref="D103:H103"/>
    <mergeCell ref="D115:H115"/>
    <mergeCell ref="L120:M120"/>
    <mergeCell ref="B109:B112"/>
    <mergeCell ref="D177:H177"/>
    <mergeCell ref="B176:B179"/>
    <mergeCell ref="D176:H176"/>
    <mergeCell ref="B133:B136"/>
    <mergeCell ref="D123:H123"/>
    <mergeCell ref="D133:H133"/>
    <mergeCell ref="L141:M141"/>
    <mergeCell ref="D178:H178"/>
    <mergeCell ref="I146:K146"/>
    <mergeCell ref="L143:M143"/>
    <mergeCell ref="L174:M174"/>
    <mergeCell ref="D143:H143"/>
    <mergeCell ref="B137:B140"/>
    <mergeCell ref="D144:H144"/>
    <mergeCell ref="I144:K144"/>
    <mergeCell ref="D172:H172"/>
    <mergeCell ref="D137:H137"/>
    <mergeCell ref="B184:B187"/>
    <mergeCell ref="D184:H184"/>
    <mergeCell ref="D189:H189"/>
    <mergeCell ref="L184:M184"/>
    <mergeCell ref="B55:B58"/>
    <mergeCell ref="O55:O58"/>
    <mergeCell ref="B47:B50"/>
    <mergeCell ref="O47:O50"/>
    <mergeCell ref="B59:B62"/>
    <mergeCell ref="O59:O62"/>
    <mergeCell ref="B63:B66"/>
    <mergeCell ref="O63:O66"/>
    <mergeCell ref="B67:B70"/>
    <mergeCell ref="D88:H88"/>
    <mergeCell ref="D126:H126"/>
    <mergeCell ref="D93:H93"/>
    <mergeCell ref="B85:B88"/>
    <mergeCell ref="L51:M51"/>
    <mergeCell ref="L52:M52"/>
    <mergeCell ref="I85:K85"/>
    <mergeCell ref="L91:M91"/>
    <mergeCell ref="L50:M50"/>
    <mergeCell ref="D94:H94"/>
    <mergeCell ref="D95:H95"/>
    <mergeCell ref="D73:H73"/>
    <mergeCell ref="L85:M85"/>
    <mergeCell ref="D87:H87"/>
    <mergeCell ref="L72:M72"/>
    <mergeCell ref="L59:M59"/>
    <mergeCell ref="O121:O124"/>
    <mergeCell ref="I68:K68"/>
    <mergeCell ref="B172:B175"/>
    <mergeCell ref="D129:H129"/>
    <mergeCell ref="C2:Z4"/>
    <mergeCell ref="I11:K11"/>
    <mergeCell ref="I12:K12"/>
    <mergeCell ref="Y111:Z111"/>
    <mergeCell ref="Q47:U47"/>
    <mergeCell ref="Q27:U27"/>
    <mergeCell ref="Y29:Z29"/>
    <mergeCell ref="Y63:Z63"/>
    <mergeCell ref="I13:K13"/>
    <mergeCell ref="I14:K14"/>
    <mergeCell ref="I19:K19"/>
    <mergeCell ref="I20:K20"/>
    <mergeCell ref="I21:K21"/>
    <mergeCell ref="I22:K22"/>
    <mergeCell ref="I28:K28"/>
    <mergeCell ref="I29:K29"/>
    <mergeCell ref="L101:M101"/>
    <mergeCell ref="L87:M87"/>
    <mergeCell ref="L84:M84"/>
    <mergeCell ref="E81:M83"/>
    <mergeCell ref="V102:X102"/>
    <mergeCell ref="V109:X109"/>
    <mergeCell ref="O43:O46"/>
    <mergeCell ref="Q104:U104"/>
    <mergeCell ref="D22:H22"/>
    <mergeCell ref="D23:H23"/>
    <mergeCell ref="Q88:U88"/>
    <mergeCell ref="L33:M33"/>
    <mergeCell ref="L94:M94"/>
    <mergeCell ref="Q62:U62"/>
    <mergeCell ref="L27:M27"/>
    <mergeCell ref="D38:H38"/>
    <mergeCell ref="B51:B54"/>
    <mergeCell ref="O51:O54"/>
    <mergeCell ref="L112:M112"/>
    <mergeCell ref="L111:M111"/>
    <mergeCell ref="O105:O108"/>
    <mergeCell ref="I105:K105"/>
    <mergeCell ref="I96:K96"/>
    <mergeCell ref="Y94:Z94"/>
    <mergeCell ref="Y95:Z95"/>
    <mergeCell ref="Y108:Z108"/>
    <mergeCell ref="V112:X112"/>
    <mergeCell ref="Q100:U100"/>
    <mergeCell ref="Q105:U105"/>
    <mergeCell ref="L106:M106"/>
    <mergeCell ref="I103:K103"/>
    <mergeCell ref="I104:K104"/>
    <mergeCell ref="Q106:U106"/>
    <mergeCell ref="V100:W100"/>
    <mergeCell ref="Y102:Z102"/>
    <mergeCell ref="Y109:Z109"/>
    <mergeCell ref="Q96:U96"/>
    <mergeCell ref="Q95:U95"/>
    <mergeCell ref="L53:M53"/>
    <mergeCell ref="D86:H86"/>
    <mergeCell ref="L66:M66"/>
    <mergeCell ref="V66:X66"/>
    <mergeCell ref="D71:H71"/>
    <mergeCell ref="B105:B108"/>
    <mergeCell ref="Q70:U70"/>
    <mergeCell ref="Q112:U112"/>
    <mergeCell ref="Y87:Z87"/>
    <mergeCell ref="I57:K57"/>
    <mergeCell ref="D55:H55"/>
    <mergeCell ref="I53:K53"/>
    <mergeCell ref="Q64:U64"/>
    <mergeCell ref="I59:K59"/>
    <mergeCell ref="I60:K60"/>
    <mergeCell ref="D32:H32"/>
    <mergeCell ref="I45:K45"/>
    <mergeCell ref="L56:M56"/>
    <mergeCell ref="L55:M55"/>
    <mergeCell ref="L32:M32"/>
    <mergeCell ref="D37:H37"/>
    <mergeCell ref="I58:K58"/>
    <mergeCell ref="D50:H50"/>
    <mergeCell ref="D51:H51"/>
    <mergeCell ref="I42:K42"/>
    <mergeCell ref="Q58:U58"/>
    <mergeCell ref="D40:H40"/>
    <mergeCell ref="D41:H41"/>
    <mergeCell ref="I43:K43"/>
    <mergeCell ref="L47:M47"/>
    <mergeCell ref="L54:M54"/>
    <mergeCell ref="L38:M38"/>
    <mergeCell ref="I38:K38"/>
    <mergeCell ref="Q33:U33"/>
    <mergeCell ref="Q34:U34"/>
    <mergeCell ref="L43:M43"/>
    <mergeCell ref="D58:H58"/>
    <mergeCell ref="L34:M34"/>
    <mergeCell ref="L48:M48"/>
    <mergeCell ref="L49:M49"/>
    <mergeCell ref="L37:M37"/>
    <mergeCell ref="I34:K34"/>
    <mergeCell ref="I54:K54"/>
    <mergeCell ref="I35:K35"/>
    <mergeCell ref="I36:K36"/>
    <mergeCell ref="I37:K37"/>
    <mergeCell ref="Q43:U43"/>
    <mergeCell ref="Q53:U53"/>
    <mergeCell ref="V69:X69"/>
    <mergeCell ref="Q66:U66"/>
    <mergeCell ref="Y65:Z65"/>
    <mergeCell ref="Q41:U41"/>
    <mergeCell ref="V41:X41"/>
    <mergeCell ref="I49:K49"/>
    <mergeCell ref="I48:K48"/>
    <mergeCell ref="L70:M70"/>
    <mergeCell ref="L71:M71"/>
    <mergeCell ref="I69:K69"/>
    <mergeCell ref="I70:K70"/>
    <mergeCell ref="L67:M67"/>
    <mergeCell ref="L69:M69"/>
    <mergeCell ref="L39:M39"/>
    <mergeCell ref="I47:K47"/>
    <mergeCell ref="I56:K56"/>
    <mergeCell ref="I55:K55"/>
    <mergeCell ref="I44:K44"/>
    <mergeCell ref="Y70:Z70"/>
    <mergeCell ref="Y42:Z42"/>
    <mergeCell ref="Q71:U71"/>
    <mergeCell ref="Q42:U42"/>
    <mergeCell ref="V50:X50"/>
    <mergeCell ref="Q39:U39"/>
    <mergeCell ref="Q52:U52"/>
    <mergeCell ref="V61:X61"/>
    <mergeCell ref="D57:H57"/>
    <mergeCell ref="O89:O92"/>
    <mergeCell ref="Y66:Z66"/>
    <mergeCell ref="B35:B38"/>
    <mergeCell ref="O35:O38"/>
    <mergeCell ref="D29:H29"/>
    <mergeCell ref="D30:H30"/>
    <mergeCell ref="B39:B42"/>
    <mergeCell ref="B43:B46"/>
    <mergeCell ref="I40:K40"/>
    <mergeCell ref="D26:H26"/>
    <mergeCell ref="D90:H90"/>
    <mergeCell ref="Q69:U69"/>
    <mergeCell ref="I72:K72"/>
    <mergeCell ref="I63:K63"/>
    <mergeCell ref="L63:M63"/>
    <mergeCell ref="D59:H59"/>
    <mergeCell ref="D60:H60"/>
    <mergeCell ref="D64:H64"/>
    <mergeCell ref="D66:H66"/>
    <mergeCell ref="I67:K67"/>
    <mergeCell ref="D68:H68"/>
    <mergeCell ref="I65:K65"/>
    <mergeCell ref="L65:M65"/>
    <mergeCell ref="I66:K66"/>
    <mergeCell ref="L64:M64"/>
    <mergeCell ref="D67:H67"/>
    <mergeCell ref="D61:H61"/>
    <mergeCell ref="L68:M68"/>
    <mergeCell ref="L86:M86"/>
    <mergeCell ref="O71:O74"/>
    <mergeCell ref="Y62:Z62"/>
    <mergeCell ref="D62:H62"/>
    <mergeCell ref="I73:K73"/>
    <mergeCell ref="I18:K18"/>
    <mergeCell ref="D24:H24"/>
    <mergeCell ref="D25:H25"/>
    <mergeCell ref="D21:H21"/>
    <mergeCell ref="I25:K25"/>
    <mergeCell ref="I41:K41"/>
    <mergeCell ref="B19:B22"/>
    <mergeCell ref="I24:K24"/>
    <mergeCell ref="L44:M44"/>
    <mergeCell ref="L46:M46"/>
    <mergeCell ref="D39:H39"/>
    <mergeCell ref="O39:O42"/>
    <mergeCell ref="I39:K39"/>
    <mergeCell ref="L24:M24"/>
    <mergeCell ref="L25:M25"/>
    <mergeCell ref="L26:M26"/>
    <mergeCell ref="D42:H42"/>
    <mergeCell ref="L28:M28"/>
    <mergeCell ref="D27:H27"/>
    <mergeCell ref="I46:K46"/>
    <mergeCell ref="I30:K30"/>
    <mergeCell ref="L23:M23"/>
    <mergeCell ref="D44:H44"/>
    <mergeCell ref="L45:M45"/>
    <mergeCell ref="D45:H45"/>
    <mergeCell ref="D46:H46"/>
    <mergeCell ref="B15:B18"/>
    <mergeCell ref="O15:O18"/>
    <mergeCell ref="B27:B30"/>
    <mergeCell ref="O27:O30"/>
    <mergeCell ref="B31:B34"/>
    <mergeCell ref="O31:O34"/>
    <mergeCell ref="O23:O26"/>
    <mergeCell ref="Y88:Z88"/>
    <mergeCell ref="L99:M99"/>
    <mergeCell ref="Y67:Z67"/>
    <mergeCell ref="V71:X71"/>
    <mergeCell ref="B7:D9"/>
    <mergeCell ref="E7:M9"/>
    <mergeCell ref="L10:M10"/>
    <mergeCell ref="D11:H11"/>
    <mergeCell ref="D12:H12"/>
    <mergeCell ref="D13:H13"/>
    <mergeCell ref="D14:H14"/>
    <mergeCell ref="L19:M19"/>
    <mergeCell ref="L20:M20"/>
    <mergeCell ref="L21:M21"/>
    <mergeCell ref="L40:M40"/>
    <mergeCell ref="L42:M42"/>
    <mergeCell ref="D49:H49"/>
    <mergeCell ref="L29:M29"/>
    <mergeCell ref="L30:M30"/>
    <mergeCell ref="L15:M15"/>
    <mergeCell ref="I17:K17"/>
    <mergeCell ref="L17:M17"/>
    <mergeCell ref="D36:H36"/>
    <mergeCell ref="D16:H16"/>
    <mergeCell ref="D19:H19"/>
    <mergeCell ref="D20:H20"/>
    <mergeCell ref="I27:K27"/>
    <mergeCell ref="L41:M41"/>
    <mergeCell ref="D31:H31"/>
    <mergeCell ref="I16:K16"/>
    <mergeCell ref="D17:H17"/>
    <mergeCell ref="D53:H53"/>
    <mergeCell ref="Q92:U92"/>
    <mergeCell ref="V92:X92"/>
    <mergeCell ref="L57:M57"/>
    <mergeCell ref="I88:K88"/>
    <mergeCell ref="L88:M88"/>
    <mergeCell ref="O67:O70"/>
    <mergeCell ref="L13:M13"/>
    <mergeCell ref="D28:H28"/>
    <mergeCell ref="L105:M105"/>
    <mergeCell ref="O7:Q9"/>
    <mergeCell ref="I101:K101"/>
    <mergeCell ref="B97:B100"/>
    <mergeCell ref="B93:B96"/>
    <mergeCell ref="Q54:U54"/>
    <mergeCell ref="Q59:U59"/>
    <mergeCell ref="Q40:U40"/>
    <mergeCell ref="Q84:U84"/>
    <mergeCell ref="D33:H33"/>
    <mergeCell ref="D34:H34"/>
    <mergeCell ref="D35:H35"/>
    <mergeCell ref="I33:K33"/>
    <mergeCell ref="D96:H96"/>
    <mergeCell ref="B89:B92"/>
    <mergeCell ref="R7:Z9"/>
    <mergeCell ref="I99:K99"/>
    <mergeCell ref="B11:B14"/>
    <mergeCell ref="L11:M11"/>
    <mergeCell ref="L12:M12"/>
    <mergeCell ref="O11:O14"/>
    <mergeCell ref="D119:H119"/>
    <mergeCell ref="D63:H63"/>
    <mergeCell ref="V97:W97"/>
    <mergeCell ref="I61:K61"/>
    <mergeCell ref="L61:M61"/>
    <mergeCell ref="L62:M62"/>
    <mergeCell ref="L35:M35"/>
    <mergeCell ref="L36:M36"/>
    <mergeCell ref="D43:H43"/>
    <mergeCell ref="L60:M60"/>
    <mergeCell ref="D84:H84"/>
    <mergeCell ref="I52:K52"/>
    <mergeCell ref="I50:K50"/>
    <mergeCell ref="Q57:U57"/>
    <mergeCell ref="I95:K95"/>
    <mergeCell ref="L95:M95"/>
    <mergeCell ref="O93:O96"/>
    <mergeCell ref="Q94:U94"/>
    <mergeCell ref="Q73:U73"/>
    <mergeCell ref="Q74:U74"/>
    <mergeCell ref="Q90:U90"/>
    <mergeCell ref="O85:O88"/>
    <mergeCell ref="Q63:U63"/>
    <mergeCell ref="L58:M58"/>
    <mergeCell ref="L90:M90"/>
    <mergeCell ref="I87:K87"/>
    <mergeCell ref="D48:H48"/>
    <mergeCell ref="D47:H47"/>
    <mergeCell ref="I84:K84"/>
    <mergeCell ref="C77:Z79"/>
    <mergeCell ref="L74:M74"/>
    <mergeCell ref="Q76:U76"/>
    <mergeCell ref="I147:K147"/>
    <mergeCell ref="I178:K178"/>
    <mergeCell ref="L73:M73"/>
    <mergeCell ref="I10:K10"/>
    <mergeCell ref="D15:H15"/>
    <mergeCell ref="B113:B116"/>
    <mergeCell ref="I121:K121"/>
    <mergeCell ref="D114:H114"/>
    <mergeCell ref="D118:H118"/>
    <mergeCell ref="D113:H113"/>
    <mergeCell ref="D117:H117"/>
    <mergeCell ref="D10:H10"/>
    <mergeCell ref="I26:K26"/>
    <mergeCell ref="I71:K71"/>
    <mergeCell ref="I74:K74"/>
    <mergeCell ref="I86:K86"/>
    <mergeCell ref="B81:D83"/>
    <mergeCell ref="D54:H54"/>
    <mergeCell ref="D56:H56"/>
    <mergeCell ref="I51:K51"/>
    <mergeCell ref="B71:B74"/>
    <mergeCell ref="I62:K62"/>
    <mergeCell ref="I64:K64"/>
    <mergeCell ref="B117:B120"/>
    <mergeCell ref="B23:B26"/>
    <mergeCell ref="D74:H74"/>
    <mergeCell ref="D69:H69"/>
    <mergeCell ref="D70:H70"/>
    <mergeCell ref="D72:H72"/>
    <mergeCell ref="D52:H52"/>
    <mergeCell ref="D18:H18"/>
    <mergeCell ref="D65:H65"/>
    <mergeCell ref="I139:K139"/>
    <mergeCell ref="I179:K179"/>
    <mergeCell ref="I177:K177"/>
    <mergeCell ref="D148:H148"/>
    <mergeCell ref="I180:K180"/>
    <mergeCell ref="L178:M178"/>
    <mergeCell ref="B145:B148"/>
    <mergeCell ref="B141:B144"/>
    <mergeCell ref="D134:H134"/>
    <mergeCell ref="Q136:U136"/>
    <mergeCell ref="Q135:U135"/>
    <mergeCell ref="I174:K174"/>
    <mergeCell ref="L172:M172"/>
    <mergeCell ref="L169:M169"/>
    <mergeCell ref="Q170:U170"/>
    <mergeCell ref="B168:B171"/>
    <mergeCell ref="D168:H168"/>
    <mergeCell ref="Q169:U169"/>
    <mergeCell ref="I171:K171"/>
    <mergeCell ref="Q138:U138"/>
    <mergeCell ref="Q137:U137"/>
    <mergeCell ref="Q159:U159"/>
    <mergeCell ref="O180:O183"/>
    <mergeCell ref="D175:H175"/>
    <mergeCell ref="I183:K183"/>
    <mergeCell ref="D179:H179"/>
    <mergeCell ref="D183:H183"/>
    <mergeCell ref="I175:K175"/>
    <mergeCell ref="L175:M175"/>
    <mergeCell ref="I148:K148"/>
    <mergeCell ref="L144:M144"/>
    <mergeCell ref="D142:H142"/>
    <mergeCell ref="B121:B124"/>
    <mergeCell ref="D173:H173"/>
    <mergeCell ref="D135:H135"/>
    <mergeCell ref="Q124:U124"/>
    <mergeCell ref="D122:H122"/>
    <mergeCell ref="I133:K133"/>
    <mergeCell ref="B129:B132"/>
    <mergeCell ref="B125:B128"/>
    <mergeCell ref="I140:K140"/>
    <mergeCell ref="I141:K141"/>
    <mergeCell ref="D169:H169"/>
    <mergeCell ref="I134:K134"/>
    <mergeCell ref="I130:K130"/>
    <mergeCell ref="Q133:U133"/>
    <mergeCell ref="L137:M137"/>
    <mergeCell ref="L129:M129"/>
    <mergeCell ref="I129:K129"/>
    <mergeCell ref="I135:K135"/>
    <mergeCell ref="L131:M131"/>
    <mergeCell ref="L132:M132"/>
    <mergeCell ref="R156:Z158"/>
    <mergeCell ref="I172:K172"/>
    <mergeCell ref="Q125:U125"/>
    <mergeCell ref="Q134:U134"/>
    <mergeCell ref="Y123:Z123"/>
    <mergeCell ref="D146:H146"/>
    <mergeCell ref="Q172:U172"/>
    <mergeCell ref="D139:H139"/>
    <mergeCell ref="B156:D158"/>
    <mergeCell ref="E156:M158"/>
    <mergeCell ref="L145:M145"/>
    <mergeCell ref="I137:K137"/>
    <mergeCell ref="D120:H120"/>
    <mergeCell ref="D108:H108"/>
    <mergeCell ref="D92:H92"/>
    <mergeCell ref="D91:H91"/>
    <mergeCell ref="D104:H104"/>
    <mergeCell ref="D116:H116"/>
    <mergeCell ref="D107:H107"/>
    <mergeCell ref="D109:H109"/>
    <mergeCell ref="D106:H106"/>
    <mergeCell ref="D97:H97"/>
    <mergeCell ref="I126:K126"/>
    <mergeCell ref="D127:H127"/>
    <mergeCell ref="D128:H128"/>
    <mergeCell ref="D99:H99"/>
    <mergeCell ref="D100:H100"/>
    <mergeCell ref="D105:H105"/>
    <mergeCell ref="L100:M100"/>
    <mergeCell ref="L123:M123"/>
    <mergeCell ref="I124:K124"/>
    <mergeCell ref="I94:K94"/>
    <mergeCell ref="L121:M121"/>
    <mergeCell ref="L122:M122"/>
    <mergeCell ref="I123:K123"/>
    <mergeCell ref="I92:K92"/>
    <mergeCell ref="L92:M92"/>
    <mergeCell ref="I93:K93"/>
    <mergeCell ref="I97:K97"/>
    <mergeCell ref="I98:K98"/>
    <mergeCell ref="D125:H125"/>
    <mergeCell ref="D124:H124"/>
    <mergeCell ref="I112:K112"/>
    <mergeCell ref="D121:H121"/>
    <mergeCell ref="I119:K119"/>
    <mergeCell ref="L136:M136"/>
    <mergeCell ref="D98:H98"/>
    <mergeCell ref="L109:M109"/>
    <mergeCell ref="D112:H112"/>
    <mergeCell ref="I89:K89"/>
    <mergeCell ref="L89:M89"/>
    <mergeCell ref="O109:O112"/>
    <mergeCell ref="L127:M127"/>
    <mergeCell ref="I128:K128"/>
    <mergeCell ref="I118:K118"/>
    <mergeCell ref="I108:K108"/>
    <mergeCell ref="V101:X101"/>
    <mergeCell ref="Q101:U101"/>
    <mergeCell ref="Q126:U126"/>
    <mergeCell ref="I91:K91"/>
    <mergeCell ref="I127:K127"/>
    <mergeCell ref="I116:K116"/>
    <mergeCell ref="L110:M110"/>
    <mergeCell ref="V90:X90"/>
    <mergeCell ref="V107:W107"/>
    <mergeCell ref="V117:X117"/>
    <mergeCell ref="Q109:U109"/>
    <mergeCell ref="L128:M128"/>
    <mergeCell ref="L114:M114"/>
    <mergeCell ref="L93:M93"/>
    <mergeCell ref="V98:W98"/>
    <mergeCell ref="O101:O104"/>
    <mergeCell ref="V95:X95"/>
    <mergeCell ref="I100:K100"/>
    <mergeCell ref="I120:K120"/>
    <mergeCell ref="Q111:U111"/>
    <mergeCell ref="I90:K90"/>
    <mergeCell ref="Y99:Z99"/>
    <mergeCell ref="L103:M103"/>
    <mergeCell ref="Y96:Z96"/>
    <mergeCell ref="Y97:Z97"/>
    <mergeCell ref="Y116:Z116"/>
    <mergeCell ref="L116:M116"/>
    <mergeCell ref="Q132:U132"/>
    <mergeCell ref="I131:K131"/>
    <mergeCell ref="V134:X134"/>
    <mergeCell ref="L124:M124"/>
    <mergeCell ref="Q129:U129"/>
    <mergeCell ref="L119:M119"/>
    <mergeCell ref="Q122:U122"/>
    <mergeCell ref="V119:X119"/>
    <mergeCell ref="V104:X104"/>
    <mergeCell ref="V108:X108"/>
    <mergeCell ref="L117:M117"/>
    <mergeCell ref="Y118:Z118"/>
    <mergeCell ref="Y107:Z107"/>
    <mergeCell ref="V118:X118"/>
    <mergeCell ref="L113:M113"/>
    <mergeCell ref="I114:K114"/>
    <mergeCell ref="Y115:Z115"/>
    <mergeCell ref="Y98:Z98"/>
    <mergeCell ref="I107:K107"/>
    <mergeCell ref="Y100:Z100"/>
    <mergeCell ref="V99:W99"/>
    <mergeCell ref="Q97:U97"/>
    <mergeCell ref="Q99:U99"/>
    <mergeCell ref="L102:M102"/>
    <mergeCell ref="O97:O100"/>
    <mergeCell ref="I110:K110"/>
    <mergeCell ref="I106:K106"/>
    <mergeCell ref="L118:M118"/>
    <mergeCell ref="Q103:U103"/>
    <mergeCell ref="V103:X103"/>
    <mergeCell ref="Y103:Z103"/>
    <mergeCell ref="Q116:U116"/>
    <mergeCell ref="V116:W116"/>
    <mergeCell ref="L107:M107"/>
    <mergeCell ref="L108:M108"/>
    <mergeCell ref="V115:W115"/>
    <mergeCell ref="O113:O116"/>
    <mergeCell ref="I102:K102"/>
    <mergeCell ref="I111:K111"/>
    <mergeCell ref="Q115:U115"/>
    <mergeCell ref="Q117:U117"/>
    <mergeCell ref="V106:W106"/>
    <mergeCell ref="Q102:U102"/>
    <mergeCell ref="Y113:Z113"/>
    <mergeCell ref="Q114:U114"/>
    <mergeCell ref="Y104:Z104"/>
    <mergeCell ref="Y105:Z105"/>
    <mergeCell ref="D197:H197"/>
    <mergeCell ref="I170:K170"/>
    <mergeCell ref="I168:K168"/>
    <mergeCell ref="V144:X144"/>
    <mergeCell ref="L125:M125"/>
    <mergeCell ref="I132:K132"/>
    <mergeCell ref="I136:K136"/>
    <mergeCell ref="V130:X130"/>
    <mergeCell ref="I125:K125"/>
    <mergeCell ref="I145:K145"/>
    <mergeCell ref="D132:H132"/>
    <mergeCell ref="O168:O171"/>
    <mergeCell ref="D145:H145"/>
    <mergeCell ref="L140:M140"/>
    <mergeCell ref="L171:M171"/>
    <mergeCell ref="Q142:U142"/>
    <mergeCell ref="V143:X143"/>
    <mergeCell ref="L135:M135"/>
    <mergeCell ref="D140:H140"/>
    <mergeCell ref="Q168:U168"/>
    <mergeCell ref="O137:O140"/>
    <mergeCell ref="L170:M170"/>
    <mergeCell ref="Q148:U148"/>
    <mergeCell ref="V168:X168"/>
    <mergeCell ref="V169:X169"/>
    <mergeCell ref="V148:X148"/>
    <mergeCell ref="L130:M130"/>
    <mergeCell ref="L147:M147"/>
    <mergeCell ref="D136:H136"/>
    <mergeCell ref="V129:X129"/>
    <mergeCell ref="L142:M142"/>
    <mergeCell ref="L133:M133"/>
    <mergeCell ref="D187:H187"/>
    <mergeCell ref="I185:K185"/>
    <mergeCell ref="D174:H174"/>
    <mergeCell ref="Q113:U113"/>
    <mergeCell ref="I182:K182"/>
    <mergeCell ref="O184:O187"/>
    <mergeCell ref="Y133:Z133"/>
    <mergeCell ref="D138:H138"/>
    <mergeCell ref="Y177:Z177"/>
    <mergeCell ref="V146:X146"/>
    <mergeCell ref="Q145:U145"/>
    <mergeCell ref="Q119:U119"/>
    <mergeCell ref="I122:K122"/>
    <mergeCell ref="D130:H130"/>
    <mergeCell ref="I117:K117"/>
    <mergeCell ref="Q130:U130"/>
    <mergeCell ref="Q127:U127"/>
    <mergeCell ref="Y131:Z131"/>
    <mergeCell ref="Y169:Z169"/>
    <mergeCell ref="Y168:Z168"/>
    <mergeCell ref="I115:K115"/>
    <mergeCell ref="Y127:Z127"/>
    <mergeCell ref="I173:K173"/>
    <mergeCell ref="Q179:U179"/>
    <mergeCell ref="V159:X159"/>
    <mergeCell ref="L168:M168"/>
    <mergeCell ref="L159:M159"/>
    <mergeCell ref="C151:Z153"/>
    <mergeCell ref="O156:Q158"/>
    <mergeCell ref="O172:O175"/>
    <mergeCell ref="Q182:U182"/>
    <mergeCell ref="Q173:U173"/>
    <mergeCell ref="V184:X184"/>
    <mergeCell ref="D198:H198"/>
    <mergeCell ref="I186:K186"/>
    <mergeCell ref="D182:H182"/>
    <mergeCell ref="D185:H185"/>
    <mergeCell ref="L134:M134"/>
    <mergeCell ref="D171:H171"/>
    <mergeCell ref="D147:H147"/>
    <mergeCell ref="Q146:U146"/>
    <mergeCell ref="V147:X147"/>
    <mergeCell ref="D141:H141"/>
    <mergeCell ref="Q143:U143"/>
    <mergeCell ref="Y134:Z134"/>
    <mergeCell ref="Y174:Z174"/>
    <mergeCell ref="L138:M138"/>
    <mergeCell ref="Y136:Z136"/>
    <mergeCell ref="V145:X145"/>
    <mergeCell ref="V177:X177"/>
    <mergeCell ref="V176:X176"/>
    <mergeCell ref="V170:X170"/>
    <mergeCell ref="L146:M146"/>
    <mergeCell ref="D186:H186"/>
    <mergeCell ref="I187:K187"/>
    <mergeCell ref="L187:M187"/>
    <mergeCell ref="Q147:U147"/>
    <mergeCell ref="I176:K176"/>
    <mergeCell ref="L176:M176"/>
    <mergeCell ref="O145:O148"/>
    <mergeCell ref="O141:O144"/>
    <mergeCell ref="O133:O136"/>
    <mergeCell ref="Q144:U144"/>
    <mergeCell ref="V133:X133"/>
    <mergeCell ref="Q184:U184"/>
    <mergeCell ref="Q197:U197"/>
    <mergeCell ref="Q196:U196"/>
    <mergeCell ref="O192:O195"/>
    <mergeCell ref="I213:K213"/>
    <mergeCell ref="Q193:U193"/>
    <mergeCell ref="L199:M199"/>
    <mergeCell ref="Q200:U200"/>
    <mergeCell ref="L183:M183"/>
    <mergeCell ref="O224:O227"/>
    <mergeCell ref="L214:M214"/>
    <mergeCell ref="O200:O203"/>
    <mergeCell ref="O204:O207"/>
    <mergeCell ref="Q244:U244"/>
    <mergeCell ref="O243:O246"/>
    <mergeCell ref="L242:M242"/>
    <mergeCell ref="O188:O191"/>
    <mergeCell ref="Q188:U188"/>
    <mergeCell ref="L228:M228"/>
    <mergeCell ref="L246:M246"/>
    <mergeCell ref="Q224:U224"/>
    <mergeCell ref="Q225:U225"/>
    <mergeCell ref="L195:M195"/>
    <mergeCell ref="Q186:U186"/>
    <mergeCell ref="I184:K184"/>
    <mergeCell ref="I214:K214"/>
    <mergeCell ref="I205:K205"/>
    <mergeCell ref="I195:K195"/>
    <mergeCell ref="I193:K193"/>
    <mergeCell ref="O220:O223"/>
    <mergeCell ref="Q227:U227"/>
    <mergeCell ref="I224:K224"/>
    <mergeCell ref="L182:M182"/>
    <mergeCell ref="V231:X231"/>
    <mergeCell ref="V229:X229"/>
    <mergeCell ref="I227:K227"/>
    <mergeCell ref="L197:M197"/>
    <mergeCell ref="Y189:Z189"/>
    <mergeCell ref="Y193:Z193"/>
    <mergeCell ref="Y249:Z249"/>
    <mergeCell ref="V215:X215"/>
    <mergeCell ref="L189:M189"/>
    <mergeCell ref="O176:O179"/>
    <mergeCell ref="Q177:U177"/>
    <mergeCell ref="L186:M186"/>
    <mergeCell ref="V183:X183"/>
    <mergeCell ref="Q181:U181"/>
    <mergeCell ref="V196:X196"/>
    <mergeCell ref="V187:X187"/>
    <mergeCell ref="V205:X205"/>
    <mergeCell ref="V208:X208"/>
    <mergeCell ref="Q189:U189"/>
    <mergeCell ref="Q192:U192"/>
    <mergeCell ref="Y225:Z225"/>
    <mergeCell ref="Y224:Z224"/>
    <mergeCell ref="Q229:U229"/>
    <mergeCell ref="Y218:Z218"/>
    <mergeCell ref="Y226:Z226"/>
    <mergeCell ref="Q228:U228"/>
    <mergeCell ref="Q245:U245"/>
    <mergeCell ref="V211:X211"/>
    <mergeCell ref="I197:K197"/>
    <mergeCell ref="L198:M198"/>
    <mergeCell ref="L185:M185"/>
    <mergeCell ref="Y194:Z194"/>
    <mergeCell ref="Y196:Z196"/>
    <mergeCell ref="L177:M177"/>
    <mergeCell ref="L173:M173"/>
    <mergeCell ref="L202:M202"/>
    <mergeCell ref="Q226:U226"/>
    <mergeCell ref="Q215:U215"/>
    <mergeCell ref="Q223:U223"/>
    <mergeCell ref="Q217:U217"/>
    <mergeCell ref="Q222:U222"/>
    <mergeCell ref="Q212:U212"/>
    <mergeCell ref="V175:X175"/>
    <mergeCell ref="Q203:U203"/>
    <mergeCell ref="Q207:U207"/>
    <mergeCell ref="Y213:Z213"/>
    <mergeCell ref="Y210:Z210"/>
    <mergeCell ref="Y222:Z222"/>
    <mergeCell ref="V223:X223"/>
    <mergeCell ref="Y217:Z217"/>
    <mergeCell ref="Y215:Z215"/>
    <mergeCell ref="Y214:Z214"/>
    <mergeCell ref="Y212:Z212"/>
    <mergeCell ref="L225:M225"/>
    <mergeCell ref="L224:M224"/>
    <mergeCell ref="Y204:Z204"/>
    <mergeCell ref="Y181:Z181"/>
    <mergeCell ref="L181:M181"/>
    <mergeCell ref="Q190:U190"/>
    <mergeCell ref="V212:X212"/>
    <mergeCell ref="V214:X214"/>
    <mergeCell ref="O196:O199"/>
    <mergeCell ref="L180:M180"/>
  </mergeCells>
  <phoneticPr fontId="20" type="noConversion"/>
  <conditionalFormatting sqref="L67:M67 L334:M345">
    <cfRule type="containsText" dxfId="333" priority="1529" operator="containsText" text="LUPATINI">
      <formula>NOT(ISERROR(SEARCH("LUPATINI",L67)))</formula>
    </cfRule>
  </conditionalFormatting>
  <conditionalFormatting sqref="L211:M211">
    <cfRule type="containsText" dxfId="277" priority="76" operator="containsText" text="LUPATINI">
      <formula>NOT(ISERROR(SEARCH("LUPATINI",L211)))</formula>
    </cfRule>
  </conditionalFormatting>
  <conditionalFormatting sqref="L358:M361 L368:M369 L374:M374 L376:M377 L318:M321">
    <cfRule type="containsText" dxfId="255" priority="2099" operator="containsText" text="LUPATINI">
      <formula>NOT(ISERROR(SEARCH("LUPATINI",L318)))</formula>
    </cfRule>
  </conditionalFormatting>
  <conditionalFormatting sqref="L379:M381">
    <cfRule type="containsText" dxfId="253" priority="256" operator="containsText" text="LUPATINI">
      <formula>NOT(ISERROR(SEARCH("LUPATINI",L379)))</formula>
    </cfRule>
  </conditionalFormatting>
  <printOptions horizontalCentered="1"/>
  <pageMargins left="0" right="0" top="0" bottom="0" header="0.31496062992125984" footer="0.31496062992125984"/>
  <pageSetup scale="36" fitToHeight="0" orientation="portrait" horizontalDpi="360" verticalDpi="360" r:id="rId1"/>
  <rowBreaks count="3" manualBreakCount="3">
    <brk id="150" max="25" man="1"/>
    <brk id="306" max="25" man="1"/>
    <brk id="459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CF593B1-F9F1-4FB3-8CFC-3AA9132FDDA8}">
            <xm:f>NOT(ISERROR(SEARCH($V$414,L11)))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A8C0117D-394F-499F-BB75-0C0F358A07DF}">
            <xm:f>NOT(ISERROR(SEARCH($V$420,L11)))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" operator="containsText" id="{31EA37F1-4EFB-453E-B2E1-28DAEE37CDD9}">
            <xm:f>NOT(ISERROR(SEARCH($V$418,L11)))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" operator="containsText" id="{7E19F3DC-8A0E-4D4F-A3DD-487E7F3FC773}">
            <xm:f>NOT(ISERROR(SEARCH($V$417,L11)))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" operator="containsText" id="{17DA8757-7CDB-41D6-A374-C27E07E9C858}">
            <xm:f>NOT(ISERROR(SEARCH($V$415,L11)))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L11:M26</xm:sqref>
        </x14:conditionalFormatting>
        <x14:conditionalFormatting xmlns:xm="http://schemas.microsoft.com/office/excel/2006/main">
          <x14:cfRule type="containsText" priority="333" operator="containsText" id="{7B0E60F2-DC60-4D8C-A263-6233E2246E66}">
            <xm:f>NOT(ISERROR(SEARCH($V$414,L32)))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34" operator="containsText" id="{A08B397C-103C-4536-ADE2-8A6885947EC9}">
            <xm:f>NOT(ISERROR(SEARCH($V$420,L32)))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35" operator="containsText" id="{B7FEB24E-0BAA-4F6C-A398-36ECB75DEE80}">
            <xm:f>NOT(ISERROR(SEARCH($V$418,L32)))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336" operator="containsText" id="{817A9AB1-54B2-45B1-9A62-A8CD2DF83402}">
            <xm:f>NOT(ISERROR(SEARCH($V$417,L32)))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37" operator="containsText" id="{BFA785B2-3AAC-4ECB-9AFA-2AFB7E78A4F9}">
            <xm:f>NOT(ISERROR(SEARCH($V$415,L32)))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L32:M54</xm:sqref>
        </x14:conditionalFormatting>
        <x14:conditionalFormatting xmlns:xm="http://schemas.microsoft.com/office/excel/2006/main">
          <x14:cfRule type="containsText" priority="51" operator="containsText" id="{B6645CA8-8D4E-43D0-81D1-07ECE997A5D1}">
            <xm:f>NOT(ISERROR(SEARCH($V$395,L55)))</xm:f>
            <xm:f>$V$395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5" operator="containsText" id="{E74C8212-4BB0-482B-87E4-F60A33D387E0}">
            <xm:f>NOT(ISERROR(SEARCH($V$396,L55)))</xm:f>
            <xm:f>$V$396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52" operator="containsText" id="{8FC16C96-01EF-47CB-A017-7A068F38FF41}">
            <xm:f>NOT(ISERROR(SEARCH($V$401,L55)))</xm:f>
            <xm:f>$V$401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4" operator="containsText" id="{2192C80A-84A9-47C7-9324-001A4D81FBF8}">
            <xm:f>NOT(ISERROR(SEARCH($V$398,L55)))</xm:f>
            <xm:f>$V$398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3" operator="containsText" id="{E8545728-6ED3-4F09-B06A-A2606E012CA9}">
            <xm:f>NOT(ISERROR(SEARCH($V$399,L55)))</xm:f>
            <xm:f>$V$399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L55:M55</xm:sqref>
        </x14:conditionalFormatting>
        <x14:conditionalFormatting xmlns:xm="http://schemas.microsoft.com/office/excel/2006/main">
          <x14:cfRule type="containsText" priority="87" operator="containsText" id="{50E9A96F-D509-480A-A34E-514CD241BD80}">
            <xm:f>NOT(ISERROR(SEARCH($V$414,L56)))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8" operator="containsText" id="{CA17904C-E51E-4B99-8A3A-80E5F2237009}">
            <xm:f>NOT(ISERROR(SEARCH($V$420,L56)))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9" operator="containsText" id="{9BB7A279-3678-48BA-A10A-FECD9044F31F}">
            <xm:f>NOT(ISERROR(SEARCH($V$418,L56)))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0" operator="containsText" id="{9EEF28BA-B732-4630-8E34-F43013BC377B}">
            <xm:f>NOT(ISERROR(SEARCH($V$417,L56)))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91" operator="containsText" id="{72012E78-E609-42F2-AB74-F1EE83B1DE85}">
            <xm:f>NOT(ISERROR(SEARCH($V$415,L56)))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L56:M58</xm:sqref>
        </x14:conditionalFormatting>
        <x14:conditionalFormatting xmlns:xm="http://schemas.microsoft.com/office/excel/2006/main">
          <x14:cfRule type="containsText" priority="1533" operator="containsText" id="{C42AED94-AE6E-4FE7-B487-6A760C149EE6}">
            <xm:f>NOT(ISERROR(SEARCH($V$417,L67)))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534" operator="containsText" id="{F0AAB808-E29D-4217-8750-1118956F6422}">
            <xm:f>NOT(ISERROR(SEARCH($V$415,L67)))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531" operator="containsText" id="{8B994677-9D43-479D-B5D9-B2F8E5CAB307}">
            <xm:f>NOT(ISERROR(SEARCH($V$420,L67)))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532" operator="containsText" id="{DCA0F23D-C107-4B42-A0EA-AD0BDC05173A}">
            <xm:f>NOT(ISERROR(SEARCH($V$418,L67)))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L67:M67 L328:M345 L350:M356 L358:M374 L376:M381</xm:sqref>
        </x14:conditionalFormatting>
        <x14:conditionalFormatting xmlns:xm="http://schemas.microsoft.com/office/excel/2006/main">
          <x14:cfRule type="containsText" priority="1530" operator="containsText" id="{46CA4FAC-881C-448B-B77C-864AD3FAA43C}">
            <xm:f>NOT(ISERROR(SEARCH($V$414,L67)))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L67:M67 L328:M345 L358:M374 L376:M381 L350:M356</xm:sqref>
        </x14:conditionalFormatting>
        <x14:conditionalFormatting xmlns:xm="http://schemas.microsoft.com/office/excel/2006/main">
          <x14:cfRule type="containsText" priority="300" operator="containsText" id="{1C9A01CE-82C1-4BDB-B4BD-91BF4E4FC441}">
            <xm:f>NOT(ISERROR(SEARCH($V$418,L68)))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98" operator="containsText" id="{66D9D609-E3C9-4277-AF45-A7F1C8357544}">
            <xm:f>NOT(ISERROR(SEARCH($V$414,L68)))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99" operator="containsText" id="{D2FE7C68-CEFE-4881-9420-607281C46625}">
            <xm:f>NOT(ISERROR(SEARCH($V$420,L68)))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01" operator="containsText" id="{5D36FF90-E414-4A71-9EEA-7056D161A5E0}">
            <xm:f>NOT(ISERROR(SEARCH($V$417,L68)))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02" operator="containsText" id="{45199BC9-EC8B-47DD-A0A2-5917E4513E34}">
            <xm:f>NOT(ISERROR(SEARCH($V$415,L68)))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L68:M74</xm:sqref>
        </x14:conditionalFormatting>
        <x14:conditionalFormatting xmlns:xm="http://schemas.microsoft.com/office/excel/2006/main">
          <x14:cfRule type="containsText" priority="243" operator="containsText" id="{ABD63030-695A-4FF4-8583-CEA93FF90FD3}">
            <xm:f>NOT(ISERROR(SEARCH($V$397,L85)))</xm:f>
            <xm:f>$V$397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41" operator="containsText" id="{9D4760EB-4BDC-4333-A3D6-0F0E348F5969}">
            <xm:f>NOT(ISERROR(SEARCH($V$393,L85)))</xm:f>
            <xm:f>$V$393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42" operator="containsText" id="{19125A88-A6A1-47B6-ABE1-223169834CA1}">
            <xm:f>NOT(ISERROR(SEARCH($V$399,L85)))</xm:f>
            <xm:f>$V$399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45" operator="containsText" id="{B7A13E4E-405B-4F35-B5B1-9523150EE54C}">
            <xm:f>NOT(ISERROR(SEARCH($V$394,L85)))</xm:f>
            <xm:f>$V$394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44" operator="containsText" id="{B00C1E0B-F091-4F02-AEF1-0656E37D9687}">
            <xm:f>NOT(ISERROR(SEARCH($V$396,L85)))</xm:f>
            <xm:f>$V$396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L85:M86</xm:sqref>
        </x14:conditionalFormatting>
        <x14:conditionalFormatting xmlns:xm="http://schemas.microsoft.com/office/excel/2006/main">
          <x14:cfRule type="containsText" priority="31" operator="containsText" id="{01222D33-AACA-49FA-AB93-142622EE22D4}">
            <xm:f>NOT(ISERROR(SEARCH($V$414,L87)))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5" operator="containsText" id="{A4EC2CCB-7751-4860-89DA-DEA3889EC9C7}">
            <xm:f>NOT(ISERROR(SEARCH($V$415,L87)))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8F59881D-8679-4695-9CDB-6040660FBD9F}">
            <xm:f>NOT(ISERROR(SEARCH($V$417,L87)))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3" operator="containsText" id="{4521A167-2FC4-40D1-B58C-AC2A78F6069C}">
            <xm:f>NOT(ISERROR(SEARCH($V$418,L87)))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32" operator="containsText" id="{86D649DD-59D5-46C7-9B05-B53D7B7E6EC9}">
            <xm:f>NOT(ISERROR(SEARCH($V$420,L87)))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L87:M108</xm:sqref>
        </x14:conditionalFormatting>
        <x14:conditionalFormatting xmlns:xm="http://schemas.microsoft.com/office/excel/2006/main">
          <x14:cfRule type="containsText" priority="142" operator="containsText" id="{6A272ECF-A184-4854-B6AF-5074DB0E2160}">
            <xm:f>NOT(ISERROR(SEARCH($V$351,L109)))</xm:f>
            <xm:f>$V$351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43" operator="containsText" id="{B67D83C2-A8C3-402C-9565-A8A90715C395}">
            <xm:f>NOT(ISERROR(SEARCH($V$357,L109)))</xm:f>
            <xm:f>$V$357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44" operator="containsText" id="{A7D245F9-05BD-449D-A94B-DF28002498E2}">
            <xm:f>NOT(ISERROR(SEARCH($V$355,L109)))</xm:f>
            <xm:f>$V$355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45" operator="containsText" id="{5E92CE24-6D13-4A34-906A-3DF789DD307C}">
            <xm:f>NOT(ISERROR(SEARCH($V$354,L109)))</xm:f>
            <xm:f>$V$354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46" operator="containsText" id="{8A059448-32A8-41F7-844E-B2B4038D91EF}">
            <xm:f>NOT(ISERROR(SEARCH($V$352,L109)))</xm:f>
            <xm:f>$V$352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L109:M109</xm:sqref>
        </x14:conditionalFormatting>
        <x14:conditionalFormatting xmlns:xm="http://schemas.microsoft.com/office/excel/2006/main">
          <x14:cfRule type="containsText" priority="41" operator="containsText" id="{13542001-D522-4BD5-B437-B248545F2BEB}">
            <xm:f>NOT(ISERROR(SEARCH($V$414,L110)))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4" operator="containsText" id="{13E31BB2-1283-4601-8BE4-1882CAF497C6}">
            <xm:f>NOT(ISERROR(SEARCH($V$417,L110)))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5" operator="containsText" id="{DA1218FE-16A4-4BF6-8C8E-42BCF5F2B5D4}">
            <xm:f>NOT(ISERROR(SEARCH($V$415,L110)))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43" operator="containsText" id="{DE2EA9ED-FC52-42F3-A895-22869543749F}">
            <xm:f>NOT(ISERROR(SEARCH($V$418,L110)))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2" operator="containsText" id="{F8A5BF8E-B6D8-4572-89E2-1EE482423798}">
            <xm:f>NOT(ISERROR(SEARCH($V$420,L110)))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L110:M125</xm:sqref>
        </x14:conditionalFormatting>
        <x14:conditionalFormatting xmlns:xm="http://schemas.microsoft.com/office/excel/2006/main">
          <x14:cfRule type="containsText" priority="196" operator="containsText" id="{19D27B71-434D-4491-8BA7-C01A678EC427}">
            <xm:f>NOT(ISERROR(SEARCH($V$357,L126)))</xm:f>
            <xm:f>$V$357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97" operator="containsText" id="{24BE5BFA-1452-4B88-94D0-E127FFA2F71E}">
            <xm:f>NOT(ISERROR(SEARCH($V$355,L126)))</xm:f>
            <xm:f>$V$355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98" operator="containsText" id="{830F4820-4705-458C-9DB3-CEEF1103ABE8}">
            <xm:f>NOT(ISERROR(SEARCH($V$354,L126)))</xm:f>
            <xm:f>$V$354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99" operator="containsText" id="{A85A36F0-2218-48E7-B61C-8ADF710ACA17}">
            <xm:f>NOT(ISERROR(SEARCH($V$352,L126)))</xm:f>
            <xm:f>$V$352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95" operator="containsText" id="{D2B4DE66-9098-4E3F-A413-6F4D2C166F4E}">
            <xm:f>NOT(ISERROR(SEARCH($V$351,L126)))</xm:f>
            <xm:f>$V$351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L126:M126</xm:sqref>
        </x14:conditionalFormatting>
        <x14:conditionalFormatting xmlns:xm="http://schemas.microsoft.com/office/excel/2006/main">
          <x14:cfRule type="containsText" priority="11" operator="containsText" id="{2131518C-BCD0-4FC1-A520-E8442313D2D0}">
            <xm:f>NOT(ISERROR(SEARCH($V$414,L127)))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5" operator="containsText" id="{2CE749DC-6461-43C7-BC2C-CF026183EC3F}">
            <xm:f>NOT(ISERROR(SEARCH($V$415,L127)))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4" operator="containsText" id="{D1E04D15-04D4-409D-98E6-8FF0D7D44FEB}">
            <xm:f>NOT(ISERROR(SEARCH($V$417,L127)))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3" operator="containsText" id="{65DB5FFF-E9C0-46E9-85CD-439317D437B9}">
            <xm:f>NOT(ISERROR(SEARCH($V$418,L127)))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2" operator="containsText" id="{DDEAA19C-945D-49CF-8931-1F3D27EADFA0}">
            <xm:f>NOT(ISERROR(SEARCH($V$420,L127)))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L127:M148</xm:sqref>
        </x14:conditionalFormatting>
        <x14:conditionalFormatting xmlns:xm="http://schemas.microsoft.com/office/excel/2006/main">
          <x14:cfRule type="containsText" priority="287" operator="containsText" id="{A0D73E12-3FFB-4825-8012-B3825DB2B1FA}">
            <xm:f>NOT(ISERROR(SEARCH($V$415,L168)))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86" operator="containsText" id="{C2D636C4-E60B-4FB1-9BEF-D8E23F8F89CA}">
            <xm:f>NOT(ISERROR(SEARCH($V$417,L168)))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84" operator="containsText" id="{3E201577-80E3-4466-8575-58C4A25FCEB8}">
            <xm:f>NOT(ISERROR(SEARCH($V$420,L168)))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83" operator="containsText" id="{7E607AEE-9ACD-428E-B0A5-825AD449CFAF}">
            <xm:f>NOT(ISERROR(SEARCH($V$414,L168)))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85" operator="containsText" id="{49821215-35AC-469E-A6E7-B686128A0682}">
            <xm:f>NOT(ISERROR(SEARCH($V$418,L168)))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L168:M187</xm:sqref>
        </x14:conditionalFormatting>
        <x14:conditionalFormatting xmlns:xm="http://schemas.microsoft.com/office/excel/2006/main">
          <x14:cfRule type="containsText" priority="250" operator="containsText" id="{EAD5DE4E-A7BA-4362-AE5F-F6B5249FA88D}">
            <xm:f>NOT(ISERROR(SEARCH($V$395,L188)))</xm:f>
            <xm:f>$V$395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46" operator="containsText" id="{EC9719EE-4872-4CD0-862F-A8BFF7E104EE}">
            <xm:f>NOT(ISERROR(SEARCH($V$394,L188)))</xm:f>
            <xm:f>$V$394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47" operator="containsText" id="{7148AD84-1B36-459C-915A-85585E17A3E7}">
            <xm:f>NOT(ISERROR(SEARCH($V$400,L188)))</xm:f>
            <xm:f>$V$400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48" operator="containsText" id="{2B326896-4D7F-4BA5-B3D5-C2458A5EBAB2}">
            <xm:f>NOT(ISERROR(SEARCH($V$398,L188)))</xm:f>
            <xm:f>$V$398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49" operator="containsText" id="{8A317AE1-36F6-4BF3-8F24-4CE4008B1A8D}">
            <xm:f>NOT(ISERROR(SEARCH($V$397,L188)))</xm:f>
            <xm:f>$V$397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L188:M189</xm:sqref>
        </x14:conditionalFormatting>
        <x14:conditionalFormatting xmlns:xm="http://schemas.microsoft.com/office/excel/2006/main">
          <x14:cfRule type="containsText" priority="6" operator="containsText" id="{7150D21C-8E52-44E9-9BE0-DE1F71F8013F}">
            <xm:f>NOT(ISERROR(SEARCH($V$414,L190)))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" operator="containsText" id="{8FEC8DE8-3555-4FEC-9BDF-39EC4EBEA9B4}">
            <xm:f>NOT(ISERROR(SEARCH($V$420,L190)))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" operator="containsText" id="{93E10247-C072-4741-BF89-D23CB7FC03FB}">
            <xm:f>NOT(ISERROR(SEARCH($V$418,L190)))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" operator="containsText" id="{E3522189-2E93-4254-9E80-67AD9B279ED8}">
            <xm:f>NOT(ISERROR(SEARCH($V$417,L190)))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0" operator="containsText" id="{EB9FFC19-673E-406C-9CDD-E7EC338DF759}">
            <xm:f>NOT(ISERROR(SEARCH($V$415,L190)))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L190:M195</xm:sqref>
        </x14:conditionalFormatting>
        <x14:conditionalFormatting xmlns:xm="http://schemas.microsoft.com/office/excel/2006/main">
          <x14:cfRule type="containsText" priority="79" operator="containsText" id="{9085516D-88C4-4A45-91D0-AA611F7DB4E4}">
            <xm:f>NOT(ISERROR(SEARCH($V$418,L196)))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78" operator="containsText" id="{DF652027-9A5F-4FD2-929E-8BC4C64F7E6D}">
            <xm:f>NOT(ISERROR(SEARCH($V$420,L196)))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77" operator="containsText" id="{850FED0D-7496-4769-B097-4A3F373B863E}">
            <xm:f>NOT(ISERROR(SEARCH($V$414,L196)))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0" operator="containsText" id="{E2F755FD-2DE5-4AB2-BB60-FD5417E82061}">
            <xm:f>NOT(ISERROR(SEARCH($V$417,L196)))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81" operator="containsText" id="{83A96878-53CD-42E3-A6CE-8589326442FC}">
            <xm:f>NOT(ISERROR(SEARCH($V$415,L196)))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L196:M212</xm:sqref>
        </x14:conditionalFormatting>
        <x14:conditionalFormatting xmlns:xm="http://schemas.microsoft.com/office/excel/2006/main">
          <x14:cfRule type="containsText" priority="884" operator="containsText" id="{3E8B6B14-78AC-40B0-8A14-03F32C88ECFF}">
            <xm:f>NOT(ISERROR(SEARCH($V$420,L243)))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85" operator="containsText" id="{DC7768D4-B1AF-45DA-A6B3-4F98B7AB2EF4}">
            <xm:f>NOT(ISERROR(SEARCH($V$418,L243)))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883" operator="containsText" id="{A377C938-7CEC-4E78-A5BF-1D117D9A9993}">
            <xm:f>NOT(ISERROR(SEARCH($V$414,L243)))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87" operator="containsText" id="{0D347A05-6F45-4584-9278-5FD96F1944D8}">
            <xm:f>NOT(ISERROR(SEARCH($V$415,L243)))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886" operator="containsText" id="{B39D291E-1334-42E6-91FF-B1715F363385}">
            <xm:f>NOT(ISERROR(SEARCH($V$417,L243)))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L243:M243</xm:sqref>
        </x14:conditionalFormatting>
        <x14:conditionalFormatting xmlns:xm="http://schemas.microsoft.com/office/excel/2006/main">
          <x14:cfRule type="containsText" priority="70" operator="containsText" id="{32C42258-7218-415B-826E-98EECA477AF1}">
            <xm:f>NOT(ISERROR(SEARCH($V$415,L245)))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66" operator="containsText" id="{9DC2EA1B-6FDB-4839-B489-C2F84C1C7E91}">
            <xm:f>NOT(ISERROR(SEARCH($V$414,L245)))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7" operator="containsText" id="{CAFEC62D-D9D4-4110-B071-5740AB6326FD}">
            <xm:f>NOT(ISERROR(SEARCH($V$420,L245)))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68" operator="containsText" id="{AA887CC4-79AF-4444-896E-751F3BB6D356}">
            <xm:f>NOT(ISERROR(SEARCH($V$418,L245)))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69" operator="containsText" id="{DF06FE1A-414F-4354-8A15-3C59518FCCFE}">
            <xm:f>NOT(ISERROR(SEARCH($V$417,L245)))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L245:M305</xm:sqref>
        </x14:conditionalFormatting>
        <x14:conditionalFormatting xmlns:xm="http://schemas.microsoft.com/office/excel/2006/main">
          <x14:cfRule type="containsText" priority="3116" operator="containsText" id="{57241C0A-6446-4313-8A7C-55254926EC4F}">
            <xm:f>NOT(ISERROR(SEARCH($V$416,L286)))</xm:f>
            <xm:f>$V$416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m:sqref>L286:M305</xm:sqref>
        </x14:conditionalFormatting>
        <x14:conditionalFormatting xmlns:xm="http://schemas.microsoft.com/office/excel/2006/main">
          <x14:cfRule type="containsText" priority="132" operator="containsText" id="{19E42D99-27E6-4572-9D65-E03AC99143F8}">
            <xm:f>NOT(ISERROR(SEARCH(#REF!,L306)))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34" operator="containsText" id="{80258BBE-409C-4F31-AB78-791FDB1B1AA3}">
            <xm:f>NOT(ISERROR(SEARCH(#REF!,L306)))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33" operator="containsText" id="{76E705CD-F920-4156-9C76-557085F7A7DA}">
            <xm:f>NOT(ISERROR(SEARCH(#REF!,L306)))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35" operator="containsText" id="{16B44E1E-5C94-4982-9B96-E9FB52D321C5}">
            <xm:f>NOT(ISERROR(SEARCH(#REF!,L306)))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36" operator="containsText" id="{0155631B-E302-4D99-BD90-CE235E975D51}">
            <xm:f>NOT(ISERROR(SEARCH(#REF!,L306)))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L306:M306</xm:sqref>
        </x14:conditionalFormatting>
        <x14:conditionalFormatting xmlns:xm="http://schemas.microsoft.com/office/excel/2006/main">
          <x14:cfRule type="containsText" priority="71" operator="containsText" id="{5BD03D48-CE30-48FC-B933-A3BA611F6173}">
            <xm:f>NOT(ISERROR(SEARCH($V$395,L357)))</xm:f>
            <xm:f>$V$395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2" operator="containsText" id="{20899E1E-13C2-4086-88DE-2F3C38115E48}">
            <xm:f>NOT(ISERROR(SEARCH($V$401,L357)))</xm:f>
            <xm:f>$V$401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73" operator="containsText" id="{7BB9B05E-860B-4B45-ACC5-1EDBF0BE7718}">
            <xm:f>NOT(ISERROR(SEARCH($V$399,L357)))</xm:f>
            <xm:f>$V$399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74" operator="containsText" id="{A24348CB-4CFB-45CB-ACAE-60E6CA2AF2F7}">
            <xm:f>NOT(ISERROR(SEARCH($V$398,L357)))</xm:f>
            <xm:f>$V$398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75" operator="containsText" id="{C9FE186D-5C2C-4643-9819-EF040BAEE8DE}">
            <xm:f>NOT(ISERROR(SEARCH($V$396,L357)))</xm:f>
            <xm:f>$V$396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L357:M357</xm:sqref>
        </x14:conditionalFormatting>
        <x14:conditionalFormatting xmlns:xm="http://schemas.microsoft.com/office/excel/2006/main">
          <x14:cfRule type="containsText" priority="267" operator="containsText" id="{7A4C4C40-D905-4A8E-96B9-5151A2E864A3}">
            <xm:f>NOT(ISERROR(SEARCH($V$416,L366)))</xm:f>
            <xm:f>$V$416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m:sqref>L366:M367</xm:sqref>
        </x14:conditionalFormatting>
        <x14:conditionalFormatting xmlns:xm="http://schemas.microsoft.com/office/excel/2006/main">
          <x14:cfRule type="containsText" priority="282" operator="containsText" id="{71FB5F45-23A8-4C98-AF46-211380FA0B2A}">
            <xm:f>NOT(ISERROR(SEARCH($V$415,Y72)))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81" operator="containsText" id="{832E9A61-D99A-41DD-A78E-81319229EC5D}">
            <xm:f>NOT(ISERROR(SEARCH($V$417,Y72)))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80" operator="containsText" id="{1AAC9082-9737-40B5-BD59-51FC25DA89EA}">
            <xm:f>NOT(ISERROR(SEARCH($V$418,Y72)))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79" operator="containsText" id="{C69ED2C1-7361-4427-8383-527AC585D335}">
            <xm:f>NOT(ISERROR(SEARCH($V$420,Y72)))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78" operator="containsText" id="{3858EC1D-C68F-46F7-8521-7E73C6F56D99}">
            <xm:f>NOT(ISERROR(SEARCH($V$414,Y72)))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Y72</xm:sqref>
        </x14:conditionalFormatting>
        <x14:conditionalFormatting xmlns:xm="http://schemas.microsoft.com/office/excel/2006/main">
          <x14:cfRule type="containsText" priority="17" operator="containsText" id="{6E498DCC-67CA-4E2A-8298-D1F3DFA2A76F}">
            <xm:f>NOT(ISERROR(SEARCH($V$420,Y11)))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8" operator="containsText" id="{DDD53DB8-7950-4A53-82A0-7F7442979DEE}">
            <xm:f>NOT(ISERROR(SEARCH($V$418,Y11)))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9" operator="containsText" id="{C4277337-6509-411E-ADCC-7C166C77AE88}">
            <xm:f>NOT(ISERROR(SEARCH($V$417,Y11)))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0" operator="containsText" id="{7ACAA978-7914-479A-B4F0-CB71FB007920}">
            <xm:f>NOT(ISERROR(SEARCH($V$415,Y11)))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6" operator="containsText" id="{BA4EDDBD-8E15-4536-828D-0C7FFA6298BE}">
            <xm:f>NOT(ISERROR(SEARCH($V$414,Y11)))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Y11:Z71</xm:sqref>
        </x14:conditionalFormatting>
        <x14:conditionalFormatting xmlns:xm="http://schemas.microsoft.com/office/excel/2006/main">
          <x14:cfRule type="containsText" priority="261" operator="containsText" id="{0326F08E-A0F1-4B63-BA72-C630C6FC53D8}">
            <xm:f>NOT(ISERROR(SEARCH($V$415,Y73)))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57" operator="containsText" id="{B3559CFA-A1A8-4457-A6C0-C46DBAE41F85}">
            <xm:f>NOT(ISERROR(SEARCH($V$414,Y73)))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58" operator="containsText" id="{2C77114D-5A2E-426A-977C-AF4AB0BEEDE0}">
            <xm:f>NOT(ISERROR(SEARCH($V$420,Y73)))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59" operator="containsText" id="{4A66307A-FA73-42D6-8956-AB143662578A}">
            <xm:f>NOT(ISERROR(SEARCH($V$418,Y73)))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60" operator="containsText" id="{A9810FF1-B6DA-42C2-B15F-1D799ED1F531}">
            <xm:f>NOT(ISERROR(SEARCH($V$417,Y73)))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Y73:Z74</xm:sqref>
        </x14:conditionalFormatting>
        <x14:conditionalFormatting xmlns:xm="http://schemas.microsoft.com/office/excel/2006/main">
          <x14:cfRule type="containsText" priority="36" operator="containsText" id="{D3DB50F0-92A4-4CBA-B3B5-DDE980AD7441}">
            <xm:f>NOT(ISERROR(SEARCH($V$414,L85)))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9" operator="containsText" id="{0295074E-9447-4FB9-B265-1912997BBA4E}">
            <xm:f>NOT(ISERROR(SEARCH($V$417,L85)))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0" operator="containsText" id="{E3634741-FDC6-4D76-9165-F90BA2C7AB21}">
            <xm:f>NOT(ISERROR(SEARCH($V$415,L85)))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37" operator="containsText" id="{DF7CE4AC-FF09-4B7A-BEB7-8205D5D67154}">
            <xm:f>NOT(ISERROR(SEARCH($V$420,L85)))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8" operator="containsText" id="{4EB8B89F-248B-414D-A607-E8765BCE96D0}">
            <xm:f>NOT(ISERROR(SEARCH($V$418,L85)))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Y85:Z119 Y121:Z126 L213 Y213 Y214:Z216 L214:M223 Y217:Y218 Y219:Z231 L228:M231 Y243:Z243 L244 Y244 Y248 L318:M326 Y318:Z326 L327 Y327 Y328:Z357 Y362:Z365</xm:sqref>
        </x14:conditionalFormatting>
        <x14:conditionalFormatting xmlns:xm="http://schemas.microsoft.com/office/excel/2006/main">
          <x14:cfRule type="containsText" priority="48" operator="containsText" id="{85FA9B9E-ABE8-47B8-873C-7616A4536BED}">
            <xm:f>NOT(ISERROR(SEARCH($V$398,Y127)))</xm:f>
            <xm:f>$V$398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9" operator="containsText" id="{A5B98698-2741-49E5-8E88-5CD6161599B3}">
            <xm:f>NOT(ISERROR(SEARCH($V$397,Y127)))</xm:f>
            <xm:f>$V$397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0" operator="containsText" id="{BFFBAFBF-D89D-4122-B805-153CCB5E60DC}">
            <xm:f>NOT(ISERROR(SEARCH($V$395,Y127)))</xm:f>
            <xm:f>$V$395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46" operator="containsText" id="{2D94156D-ABF6-4D76-9765-10FB276C2113}">
            <xm:f>NOT(ISERROR(SEARCH($V$394,Y127)))</xm:f>
            <xm:f>$V$394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7" operator="containsText" id="{25697623-5D5B-4407-98C8-AF1F20E5A7DE}">
            <xm:f>NOT(ISERROR(SEARCH($V$400,Y127)))</xm:f>
            <xm:f>$V$400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Y127:Z127</xm:sqref>
        </x14:conditionalFormatting>
        <x14:conditionalFormatting xmlns:xm="http://schemas.microsoft.com/office/excel/2006/main">
          <x14:cfRule type="containsText" priority="169" operator="containsText" id="{5DBAEFA8-1151-4576-9126-E420690F6B23}">
            <xm:f>NOT(ISERROR(SEARCH($V$414,Y128)))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73" operator="containsText" id="{ED40B77C-1E43-4EED-AF9C-C822343DB0A8}">
            <xm:f>NOT(ISERROR(SEARCH($V$415,Y128)))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72" operator="containsText" id="{62B1E7C2-FED3-4DAE-9C11-A8E25B84DD75}">
            <xm:f>NOT(ISERROR(SEARCH($V$417,Y128)))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71" operator="containsText" id="{46CF7DE9-C2C8-4BB9-9152-0A9B8A773AC8}">
            <xm:f>NOT(ISERROR(SEARCH($V$418,Y128)))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70" operator="containsText" id="{01B90040-1781-4B81-8181-90E27F55DA60}">
            <xm:f>NOT(ISERROR(SEARCH($V$420,Y128)))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Y128:Z148</xm:sqref>
        </x14:conditionalFormatting>
        <x14:conditionalFormatting xmlns:xm="http://schemas.microsoft.com/office/excel/2006/main">
          <x14:cfRule type="containsText" priority="200" operator="containsText" id="{69B25838-A013-48C3-BFBB-ECF70A374498}">
            <xm:f>NOT(ISERROR(SEARCH($V$414,Y168)))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01" operator="containsText" id="{89BF895A-DC76-4457-B45E-471CD3302003}">
            <xm:f>NOT(ISERROR(SEARCH($V$420,Y168)))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02" operator="containsText" id="{A1A9AB17-08FD-477E-8F75-AD226C6A693B}">
            <xm:f>NOT(ISERROR(SEARCH($V$418,Y168)))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03" operator="containsText" id="{E28EABB6-E658-4393-961E-B63E97FA6BE0}">
            <xm:f>NOT(ISERROR(SEARCH($V$417,Y168)))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04" operator="containsText" id="{06F6F7A5-2082-4311-B848-551037D60D3E}">
            <xm:f>NOT(ISERROR(SEARCH($V$415,Y168)))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Y168:Z212</xm:sqref>
        </x14:conditionalFormatting>
        <x14:conditionalFormatting xmlns:xm="http://schemas.microsoft.com/office/excel/2006/main">
          <x14:cfRule type="containsText" priority="108" operator="containsText" id="{2FD44705-003D-4463-9540-5986BC78AB43}">
            <xm:f>NOT(ISERROR(SEARCH($V$420,Y245)))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1" operator="containsText" id="{33C01B2F-42C8-4D38-A37A-E10C294E55DC}">
            <xm:f>NOT(ISERROR(SEARCH($V$415,Y245)))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10" operator="containsText" id="{D7F03EDC-BBFF-4353-B3FB-D9D3C5AA2D5E}">
            <xm:f>NOT(ISERROR(SEARCH($V$417,Y245)))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09" operator="containsText" id="{136BB59F-68BE-4119-9563-A03697EB90F6}">
            <xm:f>NOT(ISERROR(SEARCH($V$418,Y245)))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07" operator="containsText" id="{731E9900-575C-490B-A605-69094147AC79}">
            <xm:f>NOT(ISERROR(SEARCH($V$414,Y245)))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Y245:Z247</xm:sqref>
        </x14:conditionalFormatting>
        <x14:conditionalFormatting xmlns:xm="http://schemas.microsoft.com/office/excel/2006/main">
          <x14:cfRule type="containsText" priority="156" operator="containsText" id="{F85EFCC9-28AD-4C16-8564-618A61CA2E19}">
            <xm:f>NOT(ISERROR(SEARCH($V$415,Y249)))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55" operator="containsText" id="{E54433CD-3552-401A-8B91-F6A82006CB18}">
            <xm:f>NOT(ISERROR(SEARCH($V$417,Y249)))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54" operator="containsText" id="{C4D41314-5790-4207-B6B9-E5E68CC98782}">
            <xm:f>NOT(ISERROR(SEARCH($V$418,Y249)))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53" operator="containsText" id="{1759E4B1-A99B-47AB-8E52-3F3C5964D744}">
            <xm:f>NOT(ISERROR(SEARCH($V$420,Y249)))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52" operator="containsText" id="{0E9770DD-6BB2-4449-8400-70B1C3456F55}">
            <xm:f>NOT(ISERROR(SEARCH($V$414,Y249)))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Y249:Z306</xm:sqref>
        </x14:conditionalFormatting>
        <x14:conditionalFormatting xmlns:xm="http://schemas.microsoft.com/office/excel/2006/main">
          <x14:cfRule type="containsText" priority="230" operator="containsText" id="{E8C30924-3751-460A-B1FE-E816E2AD6C9B}">
            <xm:f>NOT(ISERROR(SEARCH($V$416,Y255)))</xm:f>
            <xm:f>$V$416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m:sqref>Y255:Z255</xm:sqref>
        </x14:conditionalFormatting>
        <x14:conditionalFormatting xmlns:xm="http://schemas.microsoft.com/office/excel/2006/main">
          <x14:cfRule type="containsText" priority="138" operator="containsText" id="{E809EF8A-2CE8-4657-A68E-9F0B9EC6AFF8}">
            <xm:f>NOT(ISERROR(SEARCH(#REF!,Y358)))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39" operator="containsText" id="{811FF391-9EBE-4478-BCBC-341F41EF34A3}">
            <xm:f>NOT(ISERROR(SEARCH(#REF!,Y358)))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40" operator="containsText" id="{BC798AA9-A3CA-4D6A-8285-6F8C0F4C7303}">
            <xm:f>NOT(ISERROR(SEARCH(#REF!,Y358)))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41" operator="containsText" id="{76C3BF18-FF71-4E1A-A4C9-D45D4EEB0009}">
            <xm:f>NOT(ISERROR(SEARCH(#REF!,Y358)))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37" operator="containsText" id="{3ACB75DD-9939-4CEC-BC92-DCEC0AFD3697}">
            <xm:f>NOT(ISERROR(SEARCH(#REF!,Y358)))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Y358:Z361</xm:sqref>
        </x14:conditionalFormatting>
        <x14:conditionalFormatting xmlns:xm="http://schemas.microsoft.com/office/excel/2006/main">
          <x14:cfRule type="containsText" priority="60" operator="containsText" id="{96EE726A-9482-47FC-AD75-728AD99DBE2C}">
            <xm:f>NOT(ISERROR(SEARCH($V$415,Y367)))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59" operator="containsText" id="{990B23E5-4D25-4009-955A-39A0F779DAF8}">
            <xm:f>NOT(ISERROR(SEARCH($V$417,Y367)))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8" operator="containsText" id="{4DCE6BBC-BD11-4814-B3E2-72428C10BEF4}">
            <xm:f>NOT(ISERROR(SEARCH($V$418,Y367)))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57" operator="containsText" id="{0994E6CA-CE54-4D69-88F8-9754C9CB1156}">
            <xm:f>NOT(ISERROR(SEARCH($V$420,Y367)))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6" operator="containsText" id="{218D6BDD-B08D-44B0-92FD-C9C82BB8AEB8}">
            <xm:f>NOT(ISERROR(SEARCH($V$414,Y367)))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Y367:Z381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FEC6-6D7E-4D0D-895E-BA652F388DB3}">
  <dimension ref="A1:Z152"/>
  <sheetViews>
    <sheetView showGridLines="0" topLeftCell="A27" zoomScale="107" zoomScaleNormal="107" workbookViewId="0">
      <selection activeCell="C32" sqref="C32:M32"/>
    </sheetView>
  </sheetViews>
  <sheetFormatPr defaultRowHeight="15" customHeight="1" x14ac:dyDescent="0.35"/>
  <cols>
    <col min="2" max="2" width="9.81640625" bestFit="1" customWidth="1"/>
    <col min="7" max="7" width="12" customWidth="1"/>
    <col min="8" max="8" width="0.90625" customWidth="1"/>
    <col min="11" max="11" width="13.1796875" customWidth="1"/>
    <col min="12" max="12" width="16.6328125" customWidth="1"/>
    <col min="13" max="13" width="10.54296875" customWidth="1"/>
    <col min="14" max="14" width="4.1796875" customWidth="1"/>
    <col min="15" max="16" width="9.81640625" bestFit="1" customWidth="1"/>
    <col min="20" max="20" width="7" customWidth="1"/>
    <col min="21" max="21" width="1.81640625" customWidth="1"/>
    <col min="23" max="23" width="13.1796875" customWidth="1"/>
    <col min="24" max="24" width="3" customWidth="1"/>
    <col min="25" max="25" width="16.81640625" customWidth="1"/>
    <col min="26" max="26" width="2.1796875" customWidth="1"/>
    <col min="28" max="28" width="14.1796875" customWidth="1"/>
    <col min="29" max="29" width="14.54296875" customWidth="1"/>
  </cols>
  <sheetData>
    <row r="1" spans="1:26" ht="14.5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5" x14ac:dyDescent="0.35">
      <c r="A2" s="7"/>
      <c r="B2" s="7"/>
      <c r="C2" s="322" t="s">
        <v>416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4"/>
    </row>
    <row r="3" spans="1:26" ht="14.5" x14ac:dyDescent="0.35">
      <c r="A3" s="7"/>
      <c r="B3" s="7"/>
      <c r="C3" s="325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7"/>
    </row>
    <row r="4" spans="1:26" ht="14.5" x14ac:dyDescent="0.35">
      <c r="A4" s="7"/>
      <c r="B4" s="7"/>
      <c r="C4" s="328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30"/>
    </row>
    <row r="5" spans="1:26" ht="14.5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5" x14ac:dyDescent="0.35">
      <c r="A6" s="7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5" customHeight="1" x14ac:dyDescent="0.35">
      <c r="A7" s="7"/>
      <c r="B7" s="469"/>
      <c r="C7" s="470"/>
      <c r="D7" s="471"/>
      <c r="E7" s="478" t="s">
        <v>417</v>
      </c>
      <c r="F7" s="479"/>
      <c r="G7" s="479"/>
      <c r="H7" s="479"/>
      <c r="I7" s="479"/>
      <c r="J7" s="479"/>
      <c r="K7" s="479"/>
      <c r="L7" s="479"/>
      <c r="M7" s="480"/>
      <c r="N7" s="16"/>
      <c r="O7" s="469"/>
      <c r="P7" s="470"/>
      <c r="Q7" s="471"/>
      <c r="R7" s="487" t="s">
        <v>418</v>
      </c>
      <c r="S7" s="487"/>
      <c r="T7" s="487"/>
      <c r="U7" s="487"/>
      <c r="V7" s="487"/>
      <c r="W7" s="487"/>
      <c r="X7" s="487"/>
      <c r="Y7" s="487"/>
      <c r="Z7" s="487"/>
    </row>
    <row r="8" spans="1:26" ht="14.5" customHeight="1" x14ac:dyDescent="0.35">
      <c r="A8" s="7"/>
      <c r="B8" s="472"/>
      <c r="C8" s="473"/>
      <c r="D8" s="474"/>
      <c r="E8" s="481"/>
      <c r="F8" s="482"/>
      <c r="G8" s="482"/>
      <c r="H8" s="482"/>
      <c r="I8" s="482"/>
      <c r="J8" s="482"/>
      <c r="K8" s="482"/>
      <c r="L8" s="482"/>
      <c r="M8" s="483"/>
      <c r="N8" s="16"/>
      <c r="O8" s="472"/>
      <c r="P8" s="473"/>
      <c r="Q8" s="474"/>
      <c r="R8" s="487"/>
      <c r="S8" s="487"/>
      <c r="T8" s="487"/>
      <c r="U8" s="487"/>
      <c r="V8" s="487"/>
      <c r="W8" s="487"/>
      <c r="X8" s="487"/>
      <c r="Y8" s="487"/>
      <c r="Z8" s="487"/>
    </row>
    <row r="9" spans="1:26" ht="14.5" customHeight="1" x14ac:dyDescent="0.35">
      <c r="A9" s="7"/>
      <c r="B9" s="475"/>
      <c r="C9" s="476"/>
      <c r="D9" s="477"/>
      <c r="E9" s="484"/>
      <c r="F9" s="485"/>
      <c r="G9" s="485"/>
      <c r="H9" s="485"/>
      <c r="I9" s="485"/>
      <c r="J9" s="485"/>
      <c r="K9" s="485"/>
      <c r="L9" s="485"/>
      <c r="M9" s="486"/>
      <c r="N9" s="16"/>
      <c r="O9" s="475"/>
      <c r="P9" s="476"/>
      <c r="Q9" s="477"/>
      <c r="R9" s="487"/>
      <c r="S9" s="487"/>
      <c r="T9" s="487"/>
      <c r="U9" s="487"/>
      <c r="V9" s="487"/>
      <c r="W9" s="487"/>
      <c r="X9" s="487"/>
      <c r="Y9" s="487"/>
      <c r="Z9" s="487"/>
    </row>
    <row r="10" spans="1:26" ht="15.5" x14ac:dyDescent="0.35">
      <c r="A10" s="7"/>
      <c r="B10" s="138" t="s">
        <v>4</v>
      </c>
      <c r="C10" s="147" t="s">
        <v>5</v>
      </c>
      <c r="D10" s="280" t="s">
        <v>6</v>
      </c>
      <c r="E10" s="281"/>
      <c r="F10" s="281"/>
      <c r="G10" s="281"/>
      <c r="H10" s="282"/>
      <c r="I10" s="280" t="s">
        <v>7</v>
      </c>
      <c r="J10" s="281"/>
      <c r="K10" s="282"/>
      <c r="L10" s="280" t="s">
        <v>8</v>
      </c>
      <c r="M10" s="282"/>
      <c r="N10" s="50"/>
      <c r="O10" s="138" t="s">
        <v>4</v>
      </c>
      <c r="P10" s="138" t="s">
        <v>5</v>
      </c>
      <c r="Q10" s="280" t="s">
        <v>6</v>
      </c>
      <c r="R10" s="281"/>
      <c r="S10" s="281"/>
      <c r="T10" s="281"/>
      <c r="U10" s="282"/>
      <c r="V10" s="280" t="s">
        <v>7</v>
      </c>
      <c r="W10" s="281"/>
      <c r="X10" s="282"/>
      <c r="Y10" s="280" t="s">
        <v>8</v>
      </c>
      <c r="Z10" s="282"/>
    </row>
    <row r="11" spans="1:26" ht="15" customHeight="1" x14ac:dyDescent="0.35">
      <c r="A11" s="7"/>
      <c r="B11" s="331">
        <v>161</v>
      </c>
      <c r="C11" s="12">
        <v>18630</v>
      </c>
      <c r="D11" s="228" t="s">
        <v>419</v>
      </c>
      <c r="E11" s="229"/>
      <c r="F11" s="229"/>
      <c r="G11" s="229"/>
      <c r="H11" s="230"/>
      <c r="I11" s="256" t="s">
        <v>16</v>
      </c>
      <c r="J11" s="257"/>
      <c r="K11" s="258"/>
      <c r="L11" s="206" t="s">
        <v>12</v>
      </c>
      <c r="M11" s="208"/>
      <c r="N11" s="16"/>
      <c r="O11" s="331">
        <v>162</v>
      </c>
      <c r="P11" s="11">
        <v>18972</v>
      </c>
      <c r="Q11" s="492" t="s">
        <v>248</v>
      </c>
      <c r="R11" s="210"/>
      <c r="S11" s="210"/>
      <c r="T11" s="210"/>
      <c r="U11" s="211"/>
      <c r="V11" s="367" t="s">
        <v>19</v>
      </c>
      <c r="W11" s="368"/>
      <c r="X11" s="369"/>
      <c r="Y11" s="339" t="s">
        <v>12</v>
      </c>
      <c r="Z11" s="340"/>
    </row>
    <row r="12" spans="1:26" ht="14.5" customHeight="1" x14ac:dyDescent="0.35">
      <c r="A12" s="16"/>
      <c r="B12" s="332"/>
      <c r="C12" s="13">
        <v>19132</v>
      </c>
      <c r="D12" s="303" t="s">
        <v>420</v>
      </c>
      <c r="E12" s="304"/>
      <c r="F12" s="304"/>
      <c r="G12" s="304"/>
      <c r="H12" s="305"/>
      <c r="I12" s="285" t="s">
        <v>421</v>
      </c>
      <c r="J12" s="286"/>
      <c r="K12" s="287"/>
      <c r="L12" s="467" t="s">
        <v>12</v>
      </c>
      <c r="M12" s="468"/>
      <c r="N12" s="16"/>
      <c r="O12" s="332"/>
      <c r="P12" s="13" t="s">
        <v>9</v>
      </c>
      <c r="Q12" s="228"/>
      <c r="R12" s="229"/>
      <c r="S12" s="229"/>
      <c r="T12" s="229"/>
      <c r="U12" s="230"/>
      <c r="V12" s="256"/>
      <c r="W12" s="257"/>
      <c r="X12" s="258"/>
      <c r="Y12" s="491"/>
      <c r="Z12" s="284"/>
    </row>
    <row r="13" spans="1:26" ht="14.5" customHeight="1" x14ac:dyDescent="0.35">
      <c r="A13" s="16"/>
      <c r="B13" s="332"/>
      <c r="C13" s="13" t="s">
        <v>9</v>
      </c>
      <c r="D13" s="303"/>
      <c r="E13" s="304"/>
      <c r="F13" s="304"/>
      <c r="G13" s="304"/>
      <c r="H13" s="305"/>
      <c r="I13" s="285"/>
      <c r="J13" s="286"/>
      <c r="K13" s="287"/>
      <c r="L13" s="285"/>
      <c r="M13" s="287"/>
      <c r="N13" s="16"/>
      <c r="O13" s="332"/>
      <c r="P13" s="13">
        <v>18323</v>
      </c>
      <c r="Q13" s="228" t="s">
        <v>251</v>
      </c>
      <c r="R13" s="229"/>
      <c r="S13" s="229"/>
      <c r="T13" s="229"/>
      <c r="U13" s="230"/>
      <c r="V13" s="256" t="s">
        <v>84</v>
      </c>
      <c r="W13" s="257"/>
      <c r="X13" s="258"/>
      <c r="Y13" s="261" t="s">
        <v>12</v>
      </c>
      <c r="Z13" s="227"/>
    </row>
    <row r="14" spans="1:26" ht="14.5" customHeight="1" x14ac:dyDescent="0.35">
      <c r="A14" s="16"/>
      <c r="B14" s="333"/>
      <c r="C14" s="14" t="s">
        <v>9</v>
      </c>
      <c r="D14" s="316"/>
      <c r="E14" s="317"/>
      <c r="F14" s="317"/>
      <c r="G14" s="317"/>
      <c r="H14" s="318"/>
      <c r="I14" s="297"/>
      <c r="J14" s="298"/>
      <c r="K14" s="299"/>
      <c r="L14" s="488"/>
      <c r="M14" s="489"/>
      <c r="N14" s="16"/>
      <c r="O14" s="333"/>
      <c r="P14" s="13">
        <v>19538</v>
      </c>
      <c r="Q14" s="215" t="s">
        <v>253</v>
      </c>
      <c r="R14" s="216"/>
      <c r="S14" s="216"/>
      <c r="T14" s="216"/>
      <c r="U14" s="217"/>
      <c r="V14" s="380" t="s">
        <v>31</v>
      </c>
      <c r="W14" s="309"/>
      <c r="X14" s="310"/>
      <c r="Y14" s="490" t="s">
        <v>12</v>
      </c>
      <c r="Z14" s="347"/>
    </row>
    <row r="15" spans="1:26" ht="15" customHeight="1" x14ac:dyDescent="0.35">
      <c r="A15" s="16"/>
      <c r="B15" s="464">
        <v>163</v>
      </c>
      <c r="C15" s="43"/>
      <c r="D15" s="458"/>
      <c r="E15" s="459"/>
      <c r="F15" s="459"/>
      <c r="G15" s="459"/>
      <c r="H15" s="460"/>
      <c r="I15" s="348"/>
      <c r="J15" s="349"/>
      <c r="K15" s="493"/>
      <c r="L15" s="349"/>
      <c r="M15" s="493"/>
      <c r="N15" s="16"/>
      <c r="O15" s="464">
        <v>164</v>
      </c>
      <c r="P15" s="43">
        <v>19841</v>
      </c>
      <c r="Q15" s="458" t="s">
        <v>422</v>
      </c>
      <c r="R15" s="459"/>
      <c r="S15" s="459"/>
      <c r="T15" s="459"/>
      <c r="U15" s="460"/>
      <c r="V15" s="262" t="s">
        <v>25</v>
      </c>
      <c r="W15" s="263"/>
      <c r="X15" s="264"/>
      <c r="Y15" s="341" t="s">
        <v>12</v>
      </c>
      <c r="Z15" s="340"/>
    </row>
    <row r="16" spans="1:26" ht="14.5" customHeight="1" x14ac:dyDescent="0.35">
      <c r="A16" s="16"/>
      <c r="B16" s="465"/>
      <c r="C16" s="44">
        <v>454</v>
      </c>
      <c r="D16" s="224" t="s">
        <v>423</v>
      </c>
      <c r="E16" s="222"/>
      <c r="F16" s="222"/>
      <c r="G16" s="222"/>
      <c r="H16" s="225"/>
      <c r="I16" s="231" t="s">
        <v>424</v>
      </c>
      <c r="J16" s="232"/>
      <c r="K16" s="233"/>
      <c r="L16" s="498" t="s">
        <v>425</v>
      </c>
      <c r="M16" s="499"/>
      <c r="N16" s="16"/>
      <c r="O16" s="465"/>
      <c r="P16" s="155" t="s">
        <v>9</v>
      </c>
      <c r="Q16" s="500"/>
      <c r="R16" s="501"/>
      <c r="S16" s="501"/>
      <c r="T16" s="501"/>
      <c r="U16" s="502"/>
      <c r="V16" s="503"/>
      <c r="W16" s="504"/>
      <c r="X16" s="505"/>
      <c r="Y16" s="226"/>
      <c r="Z16" s="227"/>
    </row>
    <row r="17" spans="1:26" ht="14.5" customHeight="1" x14ac:dyDescent="0.35">
      <c r="A17" s="16"/>
      <c r="B17" s="465"/>
      <c r="C17" s="184">
        <v>19228</v>
      </c>
      <c r="D17" s="224" t="s">
        <v>426</v>
      </c>
      <c r="E17" s="222"/>
      <c r="F17" s="222"/>
      <c r="G17" s="222"/>
      <c r="H17" s="225"/>
      <c r="I17" s="494" t="s">
        <v>427</v>
      </c>
      <c r="J17" s="495"/>
      <c r="K17" s="496"/>
      <c r="L17" s="232" t="s">
        <v>12</v>
      </c>
      <c r="M17" s="233"/>
      <c r="N17" s="16"/>
      <c r="O17" s="465"/>
      <c r="P17" s="44" t="s">
        <v>9</v>
      </c>
      <c r="Q17" s="497"/>
      <c r="R17" s="497"/>
      <c r="S17" s="497"/>
      <c r="T17" s="497"/>
      <c r="U17" s="497"/>
      <c r="V17" s="506"/>
      <c r="W17" s="507"/>
      <c r="X17" s="508"/>
      <c r="Y17" s="261"/>
      <c r="Z17" s="227"/>
    </row>
    <row r="18" spans="1:26" ht="14.5" customHeight="1" x14ac:dyDescent="0.35">
      <c r="A18" s="16"/>
      <c r="B18" s="466"/>
      <c r="C18" s="45"/>
      <c r="D18" s="351"/>
      <c r="E18" s="352"/>
      <c r="F18" s="352"/>
      <c r="G18" s="352"/>
      <c r="H18" s="353"/>
      <c r="I18" s="248"/>
      <c r="J18" s="249"/>
      <c r="K18" s="250"/>
      <c r="L18" s="249"/>
      <c r="M18" s="250"/>
      <c r="N18" s="16"/>
      <c r="O18" s="466"/>
      <c r="P18" s="45">
        <v>19136</v>
      </c>
      <c r="Q18" s="375" t="s">
        <v>428</v>
      </c>
      <c r="R18" s="376"/>
      <c r="S18" s="376"/>
      <c r="T18" s="376"/>
      <c r="U18" s="377"/>
      <c r="V18" s="306" t="s">
        <v>429</v>
      </c>
      <c r="W18" s="307"/>
      <c r="X18" s="308"/>
      <c r="Y18" s="346" t="s">
        <v>12</v>
      </c>
      <c r="Z18" s="347"/>
    </row>
    <row r="19" spans="1:26" ht="15" customHeight="1" x14ac:dyDescent="0.35">
      <c r="A19" s="16"/>
      <c r="B19" s="331">
        <v>165</v>
      </c>
      <c r="C19" s="13">
        <v>8</v>
      </c>
      <c r="D19" s="303" t="s">
        <v>430</v>
      </c>
      <c r="E19" s="304"/>
      <c r="F19" s="304"/>
      <c r="G19" s="304"/>
      <c r="H19" s="305"/>
      <c r="I19" s="285" t="s">
        <v>378</v>
      </c>
      <c r="J19" s="286"/>
      <c r="K19" s="287"/>
      <c r="L19" s="226" t="s">
        <v>379</v>
      </c>
      <c r="M19" s="227"/>
      <c r="N19" s="16"/>
      <c r="O19" s="331">
        <v>166</v>
      </c>
      <c r="P19" s="11">
        <v>19796</v>
      </c>
      <c r="Q19" s="445" t="s">
        <v>431</v>
      </c>
      <c r="R19" s="446"/>
      <c r="S19" s="446"/>
      <c r="T19" s="446"/>
      <c r="U19" s="447"/>
      <c r="V19" s="206" t="s">
        <v>432</v>
      </c>
      <c r="W19" s="207"/>
      <c r="X19" s="208"/>
      <c r="Y19" s="341" t="s">
        <v>12</v>
      </c>
      <c r="Z19" s="340"/>
    </row>
    <row r="20" spans="1:26" ht="14.5" customHeight="1" x14ac:dyDescent="0.35">
      <c r="A20" s="16"/>
      <c r="B20" s="332"/>
      <c r="C20" s="13">
        <v>256</v>
      </c>
      <c r="D20" s="303" t="s">
        <v>433</v>
      </c>
      <c r="E20" s="304"/>
      <c r="F20" s="304"/>
      <c r="G20" s="304"/>
      <c r="H20" s="305"/>
      <c r="I20" s="285" t="s">
        <v>434</v>
      </c>
      <c r="J20" s="286"/>
      <c r="K20" s="287"/>
      <c r="L20" s="394" t="s">
        <v>151</v>
      </c>
      <c r="M20" s="395"/>
      <c r="N20" s="16"/>
      <c r="O20" s="332"/>
      <c r="P20" s="12">
        <v>19233</v>
      </c>
      <c r="Q20" s="212" t="s">
        <v>435</v>
      </c>
      <c r="R20" s="213"/>
      <c r="S20" s="213"/>
      <c r="T20" s="213"/>
      <c r="U20" s="214"/>
      <c r="V20" s="313" t="s">
        <v>436</v>
      </c>
      <c r="W20" s="314"/>
      <c r="X20" s="315"/>
      <c r="Y20" s="251" t="s">
        <v>12</v>
      </c>
      <c r="Z20" s="252"/>
    </row>
    <row r="21" spans="1:26" ht="14.5" customHeight="1" x14ac:dyDescent="0.35">
      <c r="A21" s="16"/>
      <c r="B21" s="332"/>
      <c r="C21" s="13"/>
      <c r="D21" s="303"/>
      <c r="E21" s="304"/>
      <c r="F21" s="304"/>
      <c r="G21" s="304"/>
      <c r="H21" s="305"/>
      <c r="I21" s="285"/>
      <c r="J21" s="286"/>
      <c r="K21" s="287"/>
      <c r="L21" s="292"/>
      <c r="M21" s="294"/>
      <c r="N21" s="16"/>
      <c r="O21" s="332"/>
      <c r="P21" s="67"/>
      <c r="Q21" s="303"/>
      <c r="R21" s="304"/>
      <c r="S21" s="304"/>
      <c r="T21" s="304"/>
      <c r="U21" s="305"/>
      <c r="V21" s="285"/>
      <c r="W21" s="286"/>
      <c r="X21" s="287"/>
      <c r="Y21" s="288"/>
      <c r="Z21" s="289"/>
    </row>
    <row r="22" spans="1:26" ht="14.5" customHeight="1" x14ac:dyDescent="0.35">
      <c r="A22" s="16"/>
      <c r="B22" s="333"/>
      <c r="C22" s="14"/>
      <c r="D22" s="316"/>
      <c r="E22" s="317"/>
      <c r="F22" s="317"/>
      <c r="G22" s="317"/>
      <c r="H22" s="318"/>
      <c r="I22" s="297"/>
      <c r="J22" s="298"/>
      <c r="K22" s="299"/>
      <c r="L22" s="292"/>
      <c r="M22" s="294"/>
      <c r="N22" s="16"/>
      <c r="O22" s="333"/>
      <c r="P22" s="14" t="s">
        <v>9</v>
      </c>
      <c r="Q22" s="316"/>
      <c r="R22" s="317"/>
      <c r="S22" s="317"/>
      <c r="T22" s="317"/>
      <c r="U22" s="318"/>
      <c r="V22" s="297"/>
      <c r="W22" s="298"/>
      <c r="X22" s="299"/>
      <c r="Y22" s="297"/>
      <c r="Z22" s="299"/>
    </row>
    <row r="23" spans="1:26" ht="15" customHeight="1" x14ac:dyDescent="0.35">
      <c r="A23" s="16"/>
      <c r="B23" s="464">
        <v>167</v>
      </c>
      <c r="C23" s="43">
        <v>19059</v>
      </c>
      <c r="D23" s="458" t="s">
        <v>437</v>
      </c>
      <c r="E23" s="459"/>
      <c r="F23" s="459"/>
      <c r="G23" s="459"/>
      <c r="H23" s="460"/>
      <c r="I23" s="262" t="s">
        <v>438</v>
      </c>
      <c r="J23" s="263"/>
      <c r="K23" s="264"/>
      <c r="L23" s="348" t="s">
        <v>12</v>
      </c>
      <c r="M23" s="493"/>
      <c r="N23" s="16"/>
      <c r="O23" s="464">
        <v>168</v>
      </c>
      <c r="P23" s="44">
        <v>19811</v>
      </c>
      <c r="Q23" s="224" t="s">
        <v>439</v>
      </c>
      <c r="R23" s="222"/>
      <c r="S23" s="222"/>
      <c r="T23" s="222"/>
      <c r="U23" s="225"/>
      <c r="V23" s="231" t="s">
        <v>440</v>
      </c>
      <c r="W23" s="232"/>
      <c r="X23" s="232"/>
      <c r="Y23" s="251" t="s">
        <v>12</v>
      </c>
      <c r="Z23" s="252"/>
    </row>
    <row r="24" spans="1:26" ht="14.5" customHeight="1" x14ac:dyDescent="0.35">
      <c r="A24" s="16"/>
      <c r="B24" s="465"/>
      <c r="C24" s="44"/>
      <c r="D24" s="224" t="s">
        <v>564</v>
      </c>
      <c r="E24" s="222"/>
      <c r="F24" s="222"/>
      <c r="G24" s="222"/>
      <c r="H24" s="225"/>
      <c r="I24" s="231" t="s">
        <v>444</v>
      </c>
      <c r="J24" s="232"/>
      <c r="K24" s="233"/>
      <c r="L24" s="503" t="s">
        <v>12</v>
      </c>
      <c r="M24" s="505"/>
      <c r="N24" s="16"/>
      <c r="O24" s="465"/>
      <c r="P24" s="44"/>
      <c r="Q24" s="224" t="s">
        <v>576</v>
      </c>
      <c r="R24" s="222"/>
      <c r="S24" s="222"/>
      <c r="T24" s="222"/>
      <c r="U24" s="225"/>
      <c r="V24" s="494" t="s">
        <v>577</v>
      </c>
      <c r="W24" s="495"/>
      <c r="X24" s="496"/>
      <c r="Y24" s="226" t="s">
        <v>578</v>
      </c>
      <c r="Z24" s="227"/>
    </row>
    <row r="25" spans="1:26" ht="14.5" customHeight="1" x14ac:dyDescent="0.35">
      <c r="A25" s="16"/>
      <c r="B25" s="465"/>
      <c r="C25" s="44"/>
      <c r="D25" s="224"/>
      <c r="E25" s="222"/>
      <c r="F25" s="222"/>
      <c r="G25" s="222"/>
      <c r="H25" s="225"/>
      <c r="I25" s="231"/>
      <c r="J25" s="232"/>
      <c r="K25" s="233"/>
      <c r="L25" s="394"/>
      <c r="M25" s="395"/>
      <c r="N25" s="16"/>
      <c r="O25" s="465"/>
      <c r="P25" s="44" t="s">
        <v>9</v>
      </c>
      <c r="Q25" s="224"/>
      <c r="R25" s="222"/>
      <c r="S25" s="222"/>
      <c r="T25" s="222"/>
      <c r="U25" s="225"/>
      <c r="V25" s="231"/>
      <c r="W25" s="232"/>
      <c r="X25" s="233"/>
      <c r="Y25" s="394"/>
      <c r="Z25" s="395"/>
    </row>
    <row r="26" spans="1:26" ht="14.5" customHeight="1" x14ac:dyDescent="0.35">
      <c r="A26" s="16"/>
      <c r="B26" s="466"/>
      <c r="C26" s="45"/>
      <c r="D26" s="351"/>
      <c r="E26" s="352"/>
      <c r="F26" s="352"/>
      <c r="G26" s="352"/>
      <c r="H26" s="353"/>
      <c r="I26" s="248"/>
      <c r="J26" s="249"/>
      <c r="K26" s="250"/>
      <c r="L26" s="394"/>
      <c r="M26" s="395"/>
      <c r="N26" s="16"/>
      <c r="O26" s="466"/>
      <c r="P26" s="45" t="s">
        <v>9</v>
      </c>
      <c r="Q26" s="461"/>
      <c r="R26" s="462"/>
      <c r="S26" s="462"/>
      <c r="T26" s="462"/>
      <c r="U26" s="463"/>
      <c r="V26" s="248"/>
      <c r="W26" s="249"/>
      <c r="X26" s="250"/>
      <c r="Y26" s="226"/>
      <c r="Z26" s="227"/>
    </row>
    <row r="27" spans="1:26" ht="15" customHeight="1" x14ac:dyDescent="0.35">
      <c r="A27" s="16"/>
      <c r="B27" s="331">
        <v>169</v>
      </c>
      <c r="C27" s="11">
        <v>17459</v>
      </c>
      <c r="D27" s="445" t="s">
        <v>441</v>
      </c>
      <c r="E27" s="446"/>
      <c r="F27" s="446"/>
      <c r="G27" s="446"/>
      <c r="H27" s="447"/>
      <c r="I27" s="206" t="s">
        <v>442</v>
      </c>
      <c r="J27" s="207"/>
      <c r="K27" s="208"/>
      <c r="L27" s="262" t="s">
        <v>12</v>
      </c>
      <c r="M27" s="264"/>
      <c r="O27" s="331">
        <v>170</v>
      </c>
      <c r="P27" s="11"/>
      <c r="Q27" s="509"/>
      <c r="R27" s="510"/>
      <c r="S27" s="510"/>
      <c r="T27" s="510"/>
      <c r="U27" s="511"/>
      <c r="V27" s="206"/>
      <c r="W27" s="207"/>
      <c r="X27" s="208"/>
      <c r="Y27" s="246"/>
      <c r="Z27" s="247"/>
    </row>
    <row r="28" spans="1:26" ht="14.5" customHeight="1" x14ac:dyDescent="0.35">
      <c r="A28" s="16"/>
      <c r="B28" s="332"/>
      <c r="C28" s="13"/>
      <c r="D28" s="303"/>
      <c r="E28" s="304"/>
      <c r="F28" s="304"/>
      <c r="G28" s="304"/>
      <c r="H28" s="305"/>
      <c r="I28" s="285"/>
      <c r="J28" s="286"/>
      <c r="K28" s="287"/>
      <c r="L28" s="488"/>
      <c r="M28" s="489"/>
      <c r="N28" s="16"/>
      <c r="O28" s="332"/>
      <c r="P28" s="13">
        <v>20034</v>
      </c>
      <c r="Q28" s="303" t="s">
        <v>443</v>
      </c>
      <c r="R28" s="304"/>
      <c r="S28" s="304"/>
      <c r="T28" s="304"/>
      <c r="U28" s="305"/>
      <c r="V28" s="285" t="s">
        <v>18</v>
      </c>
      <c r="W28" s="286"/>
      <c r="X28" s="287"/>
      <c r="Y28" s="290" t="s">
        <v>12</v>
      </c>
      <c r="Z28" s="291"/>
    </row>
    <row r="29" spans="1:26" ht="14.5" customHeight="1" x14ac:dyDescent="0.35">
      <c r="A29" s="16"/>
      <c r="B29" s="332"/>
      <c r="C29" s="13" t="s">
        <v>9</v>
      </c>
      <c r="D29" s="303"/>
      <c r="E29" s="304"/>
      <c r="F29" s="304"/>
      <c r="G29" s="304"/>
      <c r="H29" s="305"/>
      <c r="I29" s="285"/>
      <c r="J29" s="286"/>
      <c r="K29" s="287"/>
      <c r="L29" s="285"/>
      <c r="M29" s="287"/>
      <c r="N29" s="16"/>
      <c r="O29" s="332"/>
      <c r="P29" s="13" t="s">
        <v>9</v>
      </c>
      <c r="Q29" s="212"/>
      <c r="R29" s="213"/>
      <c r="S29" s="213"/>
      <c r="T29" s="213"/>
      <c r="U29" s="214"/>
      <c r="V29" s="292"/>
      <c r="W29" s="293"/>
      <c r="X29" s="294"/>
      <c r="Y29" s="283"/>
      <c r="Z29" s="284"/>
    </row>
    <row r="30" spans="1:26" ht="14.5" customHeight="1" x14ac:dyDescent="0.35">
      <c r="A30" s="16"/>
      <c r="B30" s="333"/>
      <c r="C30" s="14"/>
      <c r="D30" s="316"/>
      <c r="E30" s="317"/>
      <c r="F30" s="317"/>
      <c r="G30" s="317"/>
      <c r="H30" s="318"/>
      <c r="I30" s="297"/>
      <c r="J30" s="298"/>
      <c r="K30" s="299"/>
      <c r="L30" s="292"/>
      <c r="M30" s="294"/>
      <c r="N30" s="16"/>
      <c r="O30" s="333"/>
      <c r="P30" s="14"/>
      <c r="Q30" s="303" t="s">
        <v>445</v>
      </c>
      <c r="R30" s="304"/>
      <c r="S30" s="304"/>
      <c r="T30" s="304"/>
      <c r="U30" s="305"/>
      <c r="V30" s="285" t="s">
        <v>42</v>
      </c>
      <c r="W30" s="286"/>
      <c r="X30" s="287"/>
      <c r="Y30" s="288" t="s">
        <v>12</v>
      </c>
      <c r="Z30" s="289"/>
    </row>
    <row r="31" spans="1:26" ht="15" customHeight="1" x14ac:dyDescent="0.35">
      <c r="A31" s="16"/>
      <c r="B31" s="464">
        <v>171</v>
      </c>
      <c r="C31" s="44"/>
      <c r="D31" s="420"/>
      <c r="E31" s="421"/>
      <c r="F31" s="421"/>
      <c r="G31" s="421"/>
      <c r="H31" s="422"/>
      <c r="I31" s="414"/>
      <c r="J31" s="415"/>
      <c r="K31" s="416"/>
      <c r="L31" s="262"/>
      <c r="M31" s="264"/>
      <c r="N31" s="16"/>
      <c r="O31" s="464">
        <v>172</v>
      </c>
      <c r="P31" s="43">
        <v>17637</v>
      </c>
      <c r="Q31" s="458" t="s">
        <v>446</v>
      </c>
      <c r="R31" s="459"/>
      <c r="S31" s="459"/>
      <c r="T31" s="459"/>
      <c r="U31" s="460"/>
      <c r="V31" s="262" t="s">
        <v>447</v>
      </c>
      <c r="W31" s="263"/>
      <c r="X31" s="264"/>
      <c r="Y31" s="341" t="s">
        <v>12</v>
      </c>
      <c r="Z31" s="340"/>
    </row>
    <row r="32" spans="1:26" ht="14.5" customHeight="1" x14ac:dyDescent="0.35">
      <c r="A32" s="16"/>
      <c r="B32" s="465"/>
      <c r="C32" s="44"/>
      <c r="D32" s="224"/>
      <c r="E32" s="222"/>
      <c r="F32" s="222"/>
      <c r="G32" s="222"/>
      <c r="H32" s="225"/>
      <c r="I32" s="231"/>
      <c r="J32" s="232"/>
      <c r="K32" s="233"/>
      <c r="L32" s="231"/>
      <c r="M32" s="233"/>
      <c r="N32" s="16"/>
      <c r="O32" s="465"/>
      <c r="P32" s="44">
        <v>18925</v>
      </c>
      <c r="Q32" s="224" t="s">
        <v>448</v>
      </c>
      <c r="R32" s="222"/>
      <c r="S32" s="222"/>
      <c r="T32" s="222"/>
      <c r="U32" s="225"/>
      <c r="V32" s="231" t="s">
        <v>128</v>
      </c>
      <c r="W32" s="232"/>
      <c r="X32" s="233"/>
      <c r="Y32" s="226" t="s">
        <v>12</v>
      </c>
      <c r="Z32" s="227"/>
    </row>
    <row r="33" spans="1:26" ht="14.5" customHeight="1" x14ac:dyDescent="0.35">
      <c r="A33" s="16"/>
      <c r="B33" s="465"/>
      <c r="C33" s="44">
        <v>19175</v>
      </c>
      <c r="D33" s="420" t="s">
        <v>449</v>
      </c>
      <c r="E33" s="421"/>
      <c r="F33" s="421"/>
      <c r="G33" s="421"/>
      <c r="H33" s="422"/>
      <c r="I33" s="231" t="s">
        <v>128</v>
      </c>
      <c r="J33" s="232"/>
      <c r="K33" s="233"/>
      <c r="L33" s="231" t="s">
        <v>12</v>
      </c>
      <c r="M33" s="233"/>
      <c r="N33" s="16"/>
      <c r="O33" s="465"/>
      <c r="P33" s="44">
        <v>17752</v>
      </c>
      <c r="Q33" s="224" t="s">
        <v>450</v>
      </c>
      <c r="R33" s="222"/>
      <c r="S33" s="222"/>
      <c r="T33" s="222"/>
      <c r="U33" s="225"/>
      <c r="V33" s="231" t="s">
        <v>451</v>
      </c>
      <c r="W33" s="232"/>
      <c r="X33" s="233"/>
      <c r="Y33" s="226" t="s">
        <v>12</v>
      </c>
      <c r="Z33" s="227"/>
    </row>
    <row r="34" spans="1:26" ht="14.5" customHeight="1" x14ac:dyDescent="0.35">
      <c r="A34" s="16"/>
      <c r="B34" s="466"/>
      <c r="C34" s="45">
        <v>19263</v>
      </c>
      <c r="D34" s="351" t="s">
        <v>452</v>
      </c>
      <c r="E34" s="352"/>
      <c r="F34" s="352"/>
      <c r="G34" s="352"/>
      <c r="H34" s="353"/>
      <c r="I34" s="248" t="s">
        <v>29</v>
      </c>
      <c r="J34" s="249"/>
      <c r="K34" s="250"/>
      <c r="L34" s="248" t="s">
        <v>12</v>
      </c>
      <c r="M34" s="250"/>
      <c r="N34" s="16"/>
      <c r="O34" s="466"/>
      <c r="P34" s="45">
        <v>18598</v>
      </c>
      <c r="Q34" s="351" t="s">
        <v>453</v>
      </c>
      <c r="R34" s="352"/>
      <c r="S34" s="352"/>
      <c r="T34" s="352"/>
      <c r="U34" s="353"/>
      <c r="V34" s="248" t="s">
        <v>454</v>
      </c>
      <c r="W34" s="249"/>
      <c r="X34" s="250"/>
      <c r="Y34" s="346" t="s">
        <v>12</v>
      </c>
      <c r="Z34" s="347"/>
    </row>
    <row r="35" spans="1:26" ht="15" customHeight="1" x14ac:dyDescent="0.35">
      <c r="A35" s="16"/>
      <c r="B35" s="331">
        <v>173</v>
      </c>
      <c r="C35" s="11"/>
      <c r="D35" s="445"/>
      <c r="E35" s="446"/>
      <c r="F35" s="446"/>
      <c r="G35" s="446"/>
      <c r="H35" s="447"/>
      <c r="I35" s="206"/>
      <c r="J35" s="207"/>
      <c r="K35" s="208"/>
      <c r="L35" s="206"/>
      <c r="M35" s="208"/>
      <c r="N35" s="16"/>
      <c r="O35" s="331">
        <v>174</v>
      </c>
      <c r="P35" s="11"/>
      <c r="Q35" s="445"/>
      <c r="R35" s="446"/>
      <c r="S35" s="446"/>
      <c r="T35" s="446"/>
      <c r="U35" s="447"/>
      <c r="V35" s="206"/>
      <c r="W35" s="207"/>
      <c r="X35" s="208"/>
      <c r="Y35" s="512"/>
      <c r="Z35" s="513"/>
    </row>
    <row r="36" spans="1:26" ht="14.5" customHeight="1" x14ac:dyDescent="0.35">
      <c r="A36" s="16"/>
      <c r="B36" s="332"/>
      <c r="C36" s="194">
        <v>19650</v>
      </c>
      <c r="D36" s="303" t="s">
        <v>134</v>
      </c>
      <c r="E36" s="304"/>
      <c r="F36" s="304"/>
      <c r="G36" s="304"/>
      <c r="H36" s="305"/>
      <c r="I36" s="285" t="s">
        <v>25</v>
      </c>
      <c r="J36" s="286"/>
      <c r="K36" s="287"/>
      <c r="L36" s="285" t="s">
        <v>12</v>
      </c>
      <c r="M36" s="287"/>
      <c r="N36" s="16"/>
      <c r="O36" s="332"/>
      <c r="P36" s="13"/>
      <c r="Q36" s="514"/>
      <c r="R36" s="515"/>
      <c r="S36" s="515"/>
      <c r="T36" s="515"/>
      <c r="U36" s="516"/>
      <c r="V36" s="517"/>
      <c r="W36" s="517"/>
      <c r="X36" s="517"/>
      <c r="Y36" s="283"/>
      <c r="Z36" s="284"/>
    </row>
    <row r="37" spans="1:26" ht="14.5" customHeight="1" x14ac:dyDescent="0.35">
      <c r="A37" s="16"/>
      <c r="B37" s="332"/>
      <c r="C37" s="12"/>
      <c r="D37" s="212"/>
      <c r="E37" s="213"/>
      <c r="F37" s="213"/>
      <c r="G37" s="213"/>
      <c r="H37" s="214"/>
      <c r="I37" s="292"/>
      <c r="J37" s="293"/>
      <c r="K37" s="294"/>
      <c r="L37" s="226"/>
      <c r="M37" s="227"/>
      <c r="N37" s="16"/>
      <c r="O37" s="332"/>
      <c r="P37" s="13"/>
      <c r="Q37" s="435" t="s">
        <v>455</v>
      </c>
      <c r="R37" s="436"/>
      <c r="S37" s="436"/>
      <c r="T37" s="436"/>
      <c r="U37" s="437"/>
      <c r="V37" s="256" t="s">
        <v>456</v>
      </c>
      <c r="W37" s="257"/>
      <c r="X37" s="258"/>
      <c r="Y37" s="295" t="s">
        <v>12</v>
      </c>
      <c r="Z37" s="296"/>
    </row>
    <row r="38" spans="1:26" ht="14.5" customHeight="1" x14ac:dyDescent="0.35">
      <c r="A38" s="16"/>
      <c r="B38" s="333"/>
      <c r="C38" s="14">
        <v>19747</v>
      </c>
      <c r="D38" s="364" t="s">
        <v>241</v>
      </c>
      <c r="E38" s="365"/>
      <c r="F38" s="365"/>
      <c r="G38" s="365"/>
      <c r="H38" s="366"/>
      <c r="I38" s="380" t="s">
        <v>128</v>
      </c>
      <c r="J38" s="309"/>
      <c r="K38" s="310"/>
      <c r="L38" s="292" t="s">
        <v>12</v>
      </c>
      <c r="M38" s="294"/>
      <c r="N38" s="16"/>
      <c r="O38" s="333"/>
      <c r="P38" s="14">
        <v>19832</v>
      </c>
      <c r="Q38" s="316" t="s">
        <v>457</v>
      </c>
      <c r="R38" s="317"/>
      <c r="S38" s="317"/>
      <c r="T38" s="317"/>
      <c r="U38" s="318"/>
      <c r="V38" s="297" t="s">
        <v>458</v>
      </c>
      <c r="W38" s="298"/>
      <c r="X38" s="299"/>
      <c r="Y38" s="300" t="s">
        <v>12</v>
      </c>
      <c r="Z38" s="301"/>
    </row>
    <row r="39" spans="1:26" ht="15" customHeight="1" x14ac:dyDescent="0.35">
      <c r="A39" s="16"/>
      <c r="B39" s="464">
        <v>175</v>
      </c>
      <c r="C39" s="43"/>
      <c r="D39" s="458" t="s">
        <v>459</v>
      </c>
      <c r="E39" s="459"/>
      <c r="F39" s="459"/>
      <c r="G39" s="459"/>
      <c r="H39" s="460"/>
      <c r="I39" s="262" t="s">
        <v>456</v>
      </c>
      <c r="J39" s="263"/>
      <c r="K39" s="264"/>
      <c r="L39" s="286" t="s">
        <v>43</v>
      </c>
      <c r="M39" s="287"/>
      <c r="N39" s="16"/>
      <c r="O39" s="464">
        <v>176</v>
      </c>
      <c r="P39" s="44" t="s">
        <v>9</v>
      </c>
      <c r="Q39" s="224"/>
      <c r="R39" s="222"/>
      <c r="S39" s="222"/>
      <c r="T39" s="222"/>
      <c r="U39" s="225"/>
      <c r="V39" s="231"/>
      <c r="W39" s="232"/>
      <c r="X39" s="233"/>
      <c r="Y39" s="394"/>
      <c r="Z39" s="395"/>
    </row>
    <row r="40" spans="1:26" ht="14.5" customHeight="1" x14ac:dyDescent="0.35">
      <c r="A40" s="16"/>
      <c r="B40" s="465"/>
      <c r="C40" s="44"/>
      <c r="D40" s="224"/>
      <c r="E40" s="222"/>
      <c r="F40" s="222"/>
      <c r="G40" s="222"/>
      <c r="H40" s="225"/>
      <c r="I40" s="494"/>
      <c r="J40" s="495"/>
      <c r="K40" s="496"/>
      <c r="L40" s="286"/>
      <c r="M40" s="287"/>
      <c r="N40" s="16"/>
      <c r="O40" s="465"/>
      <c r="P40" s="44">
        <v>19057</v>
      </c>
      <c r="Q40" s="224" t="s">
        <v>460</v>
      </c>
      <c r="R40" s="222"/>
      <c r="S40" s="222"/>
      <c r="T40" s="222"/>
      <c r="U40" s="225"/>
      <c r="V40" s="231" t="s">
        <v>18</v>
      </c>
      <c r="W40" s="232"/>
      <c r="X40" s="233"/>
      <c r="Y40" s="231" t="s">
        <v>12</v>
      </c>
      <c r="Z40" s="233"/>
    </row>
    <row r="41" spans="1:26" ht="14.5" customHeight="1" x14ac:dyDescent="0.35">
      <c r="A41" s="16"/>
      <c r="B41" s="465"/>
      <c r="C41" s="44"/>
      <c r="D41" s="518" t="s">
        <v>461</v>
      </c>
      <c r="E41" s="519"/>
      <c r="F41" s="519"/>
      <c r="G41" s="519"/>
      <c r="H41" s="520"/>
      <c r="I41" s="231" t="s">
        <v>456</v>
      </c>
      <c r="J41" s="232"/>
      <c r="K41" s="233"/>
      <c r="L41" s="394" t="s">
        <v>43</v>
      </c>
      <c r="M41" s="395"/>
      <c r="N41" s="16"/>
      <c r="O41" s="465"/>
      <c r="P41" s="148">
        <v>19737</v>
      </c>
      <c r="Q41" s="420" t="s">
        <v>462</v>
      </c>
      <c r="R41" s="421"/>
      <c r="S41" s="421"/>
      <c r="T41" s="421"/>
      <c r="U41" s="422"/>
      <c r="V41" s="415" t="s">
        <v>19</v>
      </c>
      <c r="W41" s="415"/>
      <c r="X41" s="416"/>
      <c r="Y41" s="231" t="s">
        <v>12</v>
      </c>
      <c r="Z41" s="233"/>
    </row>
    <row r="42" spans="1:26" ht="14.5" customHeight="1" x14ac:dyDescent="0.35">
      <c r="A42" s="16"/>
      <c r="B42" s="466"/>
      <c r="C42" s="45"/>
      <c r="D42" s="351"/>
      <c r="E42" s="352"/>
      <c r="F42" s="352"/>
      <c r="G42" s="352"/>
      <c r="H42" s="353"/>
      <c r="I42" s="306"/>
      <c r="J42" s="307"/>
      <c r="K42" s="308"/>
      <c r="L42" s="248"/>
      <c r="M42" s="250"/>
      <c r="N42" s="16"/>
      <c r="O42" s="466"/>
      <c r="P42" s="45" t="s">
        <v>9</v>
      </c>
      <c r="Q42" s="351"/>
      <c r="R42" s="352"/>
      <c r="S42" s="352"/>
      <c r="T42" s="352"/>
      <c r="U42" s="353"/>
      <c r="V42" s="117"/>
      <c r="W42" s="118"/>
      <c r="X42" s="119"/>
      <c r="Y42" s="346"/>
      <c r="Z42" s="347"/>
    </row>
    <row r="43" spans="1:26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7" spans="1:26" ht="15" customHeight="1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customHeight="1" x14ac:dyDescent="0.35">
      <c r="A48" s="7"/>
      <c r="B48" s="7"/>
      <c r="C48" s="322" t="s">
        <v>463</v>
      </c>
      <c r="D48" s="323"/>
      <c r="E48" s="323"/>
      <c r="F48" s="323"/>
      <c r="G48" s="323"/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4"/>
    </row>
    <row r="49" spans="1:26" ht="15" customHeight="1" x14ac:dyDescent="0.35">
      <c r="A49" s="7"/>
      <c r="B49" s="7"/>
      <c r="C49" s="325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7"/>
    </row>
    <row r="50" spans="1:26" ht="15" customHeight="1" x14ac:dyDescent="0.35">
      <c r="A50" s="7"/>
      <c r="B50" s="7"/>
      <c r="C50" s="328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30"/>
    </row>
    <row r="54" spans="1:26" ht="15" customHeight="1" x14ac:dyDescent="0.35">
      <c r="A54" s="16"/>
      <c r="B54" s="469" t="e" vm="1">
        <v>#VALUE!</v>
      </c>
      <c r="C54" s="470"/>
      <c r="D54" s="471"/>
      <c r="E54" s="478" t="s">
        <v>464</v>
      </c>
      <c r="F54" s="479"/>
      <c r="G54" s="479"/>
      <c r="H54" s="479"/>
      <c r="I54" s="479"/>
      <c r="J54" s="479"/>
      <c r="K54" s="479"/>
      <c r="L54" s="479"/>
      <c r="M54" s="480"/>
      <c r="N54" s="16"/>
      <c r="O54" s="469" t="e" vm="1">
        <v>#VALUE!</v>
      </c>
      <c r="P54" s="470"/>
      <c r="Q54" s="471"/>
      <c r="R54" s="487" t="s">
        <v>465</v>
      </c>
      <c r="S54" s="487"/>
      <c r="T54" s="487"/>
      <c r="U54" s="487"/>
      <c r="V54" s="487"/>
      <c r="W54" s="487"/>
      <c r="X54" s="487"/>
      <c r="Y54" s="487"/>
      <c r="Z54" s="487"/>
    </row>
    <row r="55" spans="1:26" ht="15" customHeight="1" x14ac:dyDescent="0.35">
      <c r="A55" s="16"/>
      <c r="B55" s="472"/>
      <c r="C55" s="473"/>
      <c r="D55" s="474"/>
      <c r="E55" s="481"/>
      <c r="F55" s="482"/>
      <c r="G55" s="482"/>
      <c r="H55" s="482"/>
      <c r="I55" s="482"/>
      <c r="J55" s="482"/>
      <c r="K55" s="482"/>
      <c r="L55" s="482"/>
      <c r="M55" s="483"/>
      <c r="N55" s="16"/>
      <c r="O55" s="472"/>
      <c r="P55" s="473"/>
      <c r="Q55" s="474"/>
      <c r="R55" s="487"/>
      <c r="S55" s="487"/>
      <c r="T55" s="487"/>
      <c r="U55" s="487"/>
      <c r="V55" s="487"/>
      <c r="W55" s="487"/>
      <c r="X55" s="487"/>
      <c r="Y55" s="487"/>
      <c r="Z55" s="487"/>
    </row>
    <row r="56" spans="1:26" ht="15" customHeight="1" x14ac:dyDescent="0.35">
      <c r="A56" s="16"/>
      <c r="B56" s="475"/>
      <c r="C56" s="476"/>
      <c r="D56" s="477"/>
      <c r="E56" s="484"/>
      <c r="F56" s="485"/>
      <c r="G56" s="485"/>
      <c r="H56" s="485"/>
      <c r="I56" s="485"/>
      <c r="J56" s="485"/>
      <c r="K56" s="485"/>
      <c r="L56" s="485"/>
      <c r="M56" s="486"/>
      <c r="N56" s="16"/>
      <c r="O56" s="475"/>
      <c r="P56" s="476"/>
      <c r="Q56" s="477"/>
      <c r="R56" s="487"/>
      <c r="S56" s="487"/>
      <c r="T56" s="487"/>
      <c r="U56" s="487"/>
      <c r="V56" s="487"/>
      <c r="W56" s="487"/>
      <c r="X56" s="487"/>
      <c r="Y56" s="487"/>
      <c r="Z56" s="487"/>
    </row>
    <row r="57" spans="1:26" ht="15" customHeight="1" x14ac:dyDescent="0.35">
      <c r="A57" s="16"/>
      <c r="B57" s="138" t="s">
        <v>4</v>
      </c>
      <c r="C57" s="138" t="s">
        <v>5</v>
      </c>
      <c r="D57" s="280" t="s">
        <v>6</v>
      </c>
      <c r="E57" s="281"/>
      <c r="F57" s="281"/>
      <c r="G57" s="281"/>
      <c r="H57" s="282"/>
      <c r="I57" s="280" t="s">
        <v>7</v>
      </c>
      <c r="J57" s="281"/>
      <c r="K57" s="282"/>
      <c r="L57" s="280" t="s">
        <v>8</v>
      </c>
      <c r="M57" s="282"/>
      <c r="N57" s="16"/>
      <c r="O57" s="138" t="s">
        <v>4</v>
      </c>
      <c r="P57" s="138" t="s">
        <v>5</v>
      </c>
      <c r="Q57" s="280" t="s">
        <v>6</v>
      </c>
      <c r="R57" s="281"/>
      <c r="S57" s="281"/>
      <c r="T57" s="281"/>
      <c r="U57" s="282"/>
      <c r="V57" s="280" t="s">
        <v>7</v>
      </c>
      <c r="W57" s="281"/>
      <c r="X57" s="282"/>
      <c r="Y57" s="280" t="s">
        <v>8</v>
      </c>
      <c r="Z57" s="282"/>
    </row>
    <row r="58" spans="1:26" ht="15" customHeight="1" x14ac:dyDescent="0.35">
      <c r="A58" s="16"/>
      <c r="B58" s="331">
        <v>177</v>
      </c>
      <c r="C58" s="11">
        <v>103</v>
      </c>
      <c r="D58" s="445" t="s">
        <v>466</v>
      </c>
      <c r="E58" s="446"/>
      <c r="F58" s="446"/>
      <c r="G58" s="446"/>
      <c r="H58" s="447"/>
      <c r="I58" s="521" t="s">
        <v>467</v>
      </c>
      <c r="J58" s="522"/>
      <c r="K58" s="523"/>
      <c r="L58" s="262" t="s">
        <v>308</v>
      </c>
      <c r="M58" s="264"/>
      <c r="N58" s="16"/>
      <c r="O58" s="331">
        <v>178</v>
      </c>
      <c r="P58" s="11"/>
      <c r="Q58" s="445"/>
      <c r="R58" s="446"/>
      <c r="S58" s="446"/>
      <c r="T58" s="446"/>
      <c r="U58" s="447"/>
      <c r="V58" s="206"/>
      <c r="W58" s="207"/>
      <c r="X58" s="208"/>
      <c r="Y58" s="246"/>
      <c r="Z58" s="247"/>
    </row>
    <row r="59" spans="1:26" ht="15" customHeight="1" x14ac:dyDescent="0.35">
      <c r="A59" s="16"/>
      <c r="B59" s="332"/>
      <c r="C59" s="13"/>
      <c r="D59" s="303"/>
      <c r="E59" s="304"/>
      <c r="F59" s="304"/>
      <c r="G59" s="304"/>
      <c r="H59" s="305"/>
      <c r="I59" s="303"/>
      <c r="J59" s="304"/>
      <c r="K59" s="305"/>
      <c r="L59" s="285"/>
      <c r="M59" s="287"/>
      <c r="N59" s="16"/>
      <c r="O59" s="332"/>
      <c r="P59" s="13">
        <v>18759</v>
      </c>
      <c r="Q59" s="524" t="s">
        <v>468</v>
      </c>
      <c r="R59" s="525"/>
      <c r="S59" s="525"/>
      <c r="T59" s="525"/>
      <c r="U59" s="526"/>
      <c r="V59" s="285" t="s">
        <v>469</v>
      </c>
      <c r="W59" s="286"/>
      <c r="X59" s="287"/>
      <c r="Y59" s="226" t="s">
        <v>12</v>
      </c>
      <c r="Z59" s="227"/>
    </row>
    <row r="60" spans="1:26" ht="15" customHeight="1" x14ac:dyDescent="0.35">
      <c r="A60" s="16"/>
      <c r="B60" s="332"/>
      <c r="C60" s="13"/>
      <c r="D60" s="303"/>
      <c r="E60" s="304"/>
      <c r="F60" s="304"/>
      <c r="G60" s="304"/>
      <c r="H60" s="305"/>
      <c r="I60" s="303"/>
      <c r="J60" s="304"/>
      <c r="K60" s="305"/>
      <c r="L60" s="292"/>
      <c r="M60" s="294"/>
      <c r="N60" s="16"/>
      <c r="O60" s="332"/>
      <c r="P60" s="12" t="s">
        <v>9</v>
      </c>
      <c r="Q60" s="303"/>
      <c r="R60" s="304"/>
      <c r="S60" s="304"/>
      <c r="T60" s="304"/>
      <c r="U60" s="305"/>
      <c r="V60" s="292"/>
      <c r="W60" s="293"/>
      <c r="X60" s="294"/>
      <c r="Y60" s="251"/>
      <c r="Z60" s="252"/>
    </row>
    <row r="61" spans="1:26" ht="15" customHeight="1" x14ac:dyDescent="0.35">
      <c r="A61" s="16"/>
      <c r="B61" s="333"/>
      <c r="C61" s="14"/>
      <c r="D61" s="316"/>
      <c r="E61" s="317"/>
      <c r="F61" s="317"/>
      <c r="G61" s="317"/>
      <c r="H61" s="318"/>
      <c r="I61" s="316"/>
      <c r="J61" s="317"/>
      <c r="K61" s="318"/>
      <c r="L61" s="297"/>
      <c r="M61" s="299"/>
      <c r="N61" s="16"/>
      <c r="O61" s="333"/>
      <c r="P61" s="13"/>
      <c r="Q61" s="316"/>
      <c r="R61" s="317"/>
      <c r="S61" s="317"/>
      <c r="T61" s="317"/>
      <c r="U61" s="318"/>
      <c r="V61" s="297"/>
      <c r="W61" s="298"/>
      <c r="X61" s="299"/>
      <c r="Y61" s="283"/>
      <c r="Z61" s="284"/>
    </row>
    <row r="62" spans="1:26" ht="15" customHeight="1" x14ac:dyDescent="0.35">
      <c r="A62" s="16"/>
      <c r="B62" s="464">
        <v>179</v>
      </c>
      <c r="C62" s="43"/>
      <c r="D62" s="224"/>
      <c r="E62" s="222"/>
      <c r="F62" s="222"/>
      <c r="G62" s="222"/>
      <c r="H62" s="225"/>
      <c r="I62" s="348"/>
      <c r="J62" s="349"/>
      <c r="K62" s="493"/>
      <c r="L62" s="394"/>
      <c r="M62" s="395"/>
      <c r="N62" s="16"/>
      <c r="O62" s="464">
        <v>180</v>
      </c>
      <c r="P62" s="43"/>
      <c r="Q62" s="458"/>
      <c r="R62" s="459"/>
      <c r="S62" s="459"/>
      <c r="T62" s="459"/>
      <c r="U62" s="460"/>
      <c r="V62" s="262"/>
      <c r="W62" s="263"/>
      <c r="X62" s="264"/>
      <c r="Y62" s="341"/>
      <c r="Z62" s="340"/>
    </row>
    <row r="63" spans="1:26" ht="15" customHeight="1" x14ac:dyDescent="0.35">
      <c r="A63" s="16"/>
      <c r="B63" s="465"/>
      <c r="C63" s="44">
        <v>18207</v>
      </c>
      <c r="D63" s="224" t="s">
        <v>470</v>
      </c>
      <c r="E63" s="222"/>
      <c r="F63" s="222"/>
      <c r="G63" s="222"/>
      <c r="H63" s="225"/>
      <c r="I63" s="231" t="s">
        <v>471</v>
      </c>
      <c r="J63" s="232"/>
      <c r="K63" s="302"/>
      <c r="L63" s="231" t="s">
        <v>12</v>
      </c>
      <c r="M63" s="233"/>
      <c r="N63" s="16"/>
      <c r="O63" s="465"/>
      <c r="P63" s="44">
        <v>132</v>
      </c>
      <c r="Q63" s="224" t="s">
        <v>472</v>
      </c>
      <c r="R63" s="222"/>
      <c r="S63" s="222"/>
      <c r="T63" s="222"/>
      <c r="U63" s="225"/>
      <c r="V63" s="494" t="s">
        <v>473</v>
      </c>
      <c r="W63" s="495"/>
      <c r="X63" s="496"/>
      <c r="Y63" s="226" t="s">
        <v>308</v>
      </c>
      <c r="Z63" s="227"/>
    </row>
    <row r="64" spans="1:26" ht="15" customHeight="1" x14ac:dyDescent="0.35">
      <c r="A64" s="16"/>
      <c r="B64" s="465"/>
      <c r="C64" s="44">
        <v>19607</v>
      </c>
      <c r="D64" s="224" t="s">
        <v>474</v>
      </c>
      <c r="E64" s="222"/>
      <c r="F64" s="222"/>
      <c r="G64" s="222"/>
      <c r="H64" s="225"/>
      <c r="I64" s="231" t="s">
        <v>25</v>
      </c>
      <c r="J64" s="232"/>
      <c r="K64" s="233"/>
      <c r="L64" s="503" t="s">
        <v>12</v>
      </c>
      <c r="M64" s="505"/>
      <c r="N64" s="16"/>
      <c r="O64" s="465"/>
      <c r="P64" s="44" t="s">
        <v>9</v>
      </c>
      <c r="Q64" s="224"/>
      <c r="R64" s="222"/>
      <c r="S64" s="222"/>
      <c r="T64" s="222"/>
      <c r="U64" s="225"/>
      <c r="V64" s="231"/>
      <c r="W64" s="232"/>
      <c r="X64" s="233"/>
      <c r="Y64" s="226"/>
      <c r="Z64" s="227"/>
    </row>
    <row r="65" spans="1:26" ht="15" customHeight="1" x14ac:dyDescent="0.35">
      <c r="A65" s="16"/>
      <c r="B65" s="466"/>
      <c r="C65" s="61"/>
      <c r="D65" s="375"/>
      <c r="E65" s="376"/>
      <c r="F65" s="376"/>
      <c r="G65" s="376"/>
      <c r="H65" s="377"/>
      <c r="I65" s="375"/>
      <c r="J65" s="376"/>
      <c r="K65" s="377"/>
      <c r="L65" s="248"/>
      <c r="M65" s="250"/>
      <c r="N65" s="16"/>
      <c r="O65" s="466"/>
      <c r="P65" s="45" t="s">
        <v>9</v>
      </c>
      <c r="Q65" s="351"/>
      <c r="R65" s="352"/>
      <c r="S65" s="352"/>
      <c r="T65" s="352"/>
      <c r="U65" s="353"/>
      <c r="V65" s="306"/>
      <c r="W65" s="307"/>
      <c r="X65" s="308"/>
      <c r="Y65" s="346"/>
      <c r="Z65" s="347"/>
    </row>
    <row r="66" spans="1:26" ht="15" customHeight="1" x14ac:dyDescent="0.35">
      <c r="A66" s="16"/>
      <c r="B66" s="331">
        <v>181</v>
      </c>
      <c r="C66" s="11"/>
      <c r="D66" s="445"/>
      <c r="E66" s="446"/>
      <c r="F66" s="446"/>
      <c r="G66" s="446"/>
      <c r="H66" s="447"/>
      <c r="I66" s="206"/>
      <c r="J66" s="207"/>
      <c r="K66" s="208"/>
      <c r="L66" s="262"/>
      <c r="M66" s="264"/>
      <c r="N66" s="16"/>
      <c r="O66" s="331">
        <v>182</v>
      </c>
      <c r="P66" s="11">
        <v>18758</v>
      </c>
      <c r="Q66" s="445" t="s">
        <v>475</v>
      </c>
      <c r="R66" s="446"/>
      <c r="S66" s="446"/>
      <c r="T66" s="446"/>
      <c r="U66" s="447"/>
      <c r="V66" s="206" t="s">
        <v>18</v>
      </c>
      <c r="W66" s="207"/>
      <c r="X66" s="208"/>
      <c r="Y66" s="341" t="s">
        <v>12</v>
      </c>
      <c r="Z66" s="340"/>
    </row>
    <row r="67" spans="1:26" ht="15" customHeight="1" x14ac:dyDescent="0.35">
      <c r="A67" s="16"/>
      <c r="B67" s="332"/>
      <c r="C67" s="176"/>
      <c r="D67" s="303" t="s">
        <v>476</v>
      </c>
      <c r="E67" s="304"/>
      <c r="F67" s="304"/>
      <c r="G67" s="304"/>
      <c r="H67" s="305"/>
      <c r="I67" s="285" t="s">
        <v>16</v>
      </c>
      <c r="J67" s="286"/>
      <c r="K67" s="287"/>
      <c r="L67" s="261" t="s">
        <v>12</v>
      </c>
      <c r="M67" s="227"/>
      <c r="N67" s="16"/>
      <c r="O67" s="332"/>
      <c r="P67" s="13">
        <v>18583</v>
      </c>
      <c r="Q67" s="303" t="s">
        <v>477</v>
      </c>
      <c r="R67" s="304"/>
      <c r="S67" s="304"/>
      <c r="T67" s="304"/>
      <c r="U67" s="305"/>
      <c r="V67" s="285" t="s">
        <v>478</v>
      </c>
      <c r="W67" s="286"/>
      <c r="X67" s="287"/>
      <c r="Y67" s="231" t="s">
        <v>12</v>
      </c>
      <c r="Z67" s="233"/>
    </row>
    <row r="68" spans="1:26" ht="15" customHeight="1" x14ac:dyDescent="0.35">
      <c r="A68" s="16"/>
      <c r="B68" s="332"/>
      <c r="C68" s="13">
        <v>20028</v>
      </c>
      <c r="D68" s="303" t="s">
        <v>238</v>
      </c>
      <c r="E68" s="304"/>
      <c r="F68" s="304"/>
      <c r="G68" s="304"/>
      <c r="H68" s="305"/>
      <c r="I68" s="285" t="s">
        <v>25</v>
      </c>
      <c r="J68" s="286"/>
      <c r="K68" s="287"/>
      <c r="L68" s="285" t="s">
        <v>12</v>
      </c>
      <c r="M68" s="287"/>
      <c r="N68" s="16"/>
      <c r="O68" s="332"/>
      <c r="P68" s="13"/>
      <c r="Q68" s="303"/>
      <c r="R68" s="304"/>
      <c r="S68" s="304"/>
      <c r="T68" s="304"/>
      <c r="U68" s="305"/>
      <c r="V68" s="285"/>
      <c r="W68" s="286"/>
      <c r="X68" s="287"/>
      <c r="Y68" s="285"/>
      <c r="Z68" s="287"/>
    </row>
    <row r="69" spans="1:26" ht="15" customHeight="1" x14ac:dyDescent="0.35">
      <c r="A69" s="16"/>
      <c r="B69" s="333"/>
      <c r="C69" s="14">
        <v>19557</v>
      </c>
      <c r="D69" s="316" t="s">
        <v>479</v>
      </c>
      <c r="E69" s="317"/>
      <c r="F69" s="317"/>
      <c r="G69" s="317"/>
      <c r="H69" s="318"/>
      <c r="I69" s="297" t="s">
        <v>25</v>
      </c>
      <c r="J69" s="298"/>
      <c r="K69" s="299"/>
      <c r="L69" s="248" t="s">
        <v>12</v>
      </c>
      <c r="M69" s="250"/>
      <c r="N69" s="16"/>
      <c r="O69" s="333"/>
      <c r="P69" s="14"/>
      <c r="Q69" s="316"/>
      <c r="R69" s="317"/>
      <c r="S69" s="317"/>
      <c r="T69" s="317"/>
      <c r="U69" s="318"/>
      <c r="V69" s="297"/>
      <c r="W69" s="298"/>
      <c r="X69" s="299"/>
      <c r="Y69" s="297"/>
      <c r="Z69" s="299"/>
    </row>
    <row r="70" spans="1:26" ht="15" customHeight="1" x14ac:dyDescent="0.35">
      <c r="A70" s="16"/>
      <c r="B70" s="464">
        <v>183</v>
      </c>
      <c r="C70" s="43" t="s">
        <v>9</v>
      </c>
      <c r="D70" s="458"/>
      <c r="E70" s="459"/>
      <c r="F70" s="459"/>
      <c r="G70" s="459"/>
      <c r="H70" s="460"/>
      <c r="I70" s="262"/>
      <c r="J70" s="263"/>
      <c r="K70" s="264"/>
      <c r="L70" s="262"/>
      <c r="M70" s="264"/>
      <c r="N70" s="16"/>
      <c r="O70" s="464">
        <v>184</v>
      </c>
      <c r="P70" s="43">
        <v>243</v>
      </c>
      <c r="Q70" s="458" t="s">
        <v>480</v>
      </c>
      <c r="R70" s="459"/>
      <c r="S70" s="459"/>
      <c r="T70" s="459"/>
      <c r="U70" s="460"/>
      <c r="V70" s="231" t="s">
        <v>481</v>
      </c>
      <c r="W70" s="232"/>
      <c r="X70" s="233"/>
      <c r="Y70" s="262" t="s">
        <v>308</v>
      </c>
      <c r="Z70" s="264"/>
    </row>
    <row r="71" spans="1:26" ht="15" customHeight="1" x14ac:dyDescent="0.35">
      <c r="A71" s="16"/>
      <c r="B71" s="465"/>
      <c r="C71" s="192" t="s">
        <v>340</v>
      </c>
      <c r="D71" s="224" t="s">
        <v>341</v>
      </c>
      <c r="E71" s="222"/>
      <c r="F71" s="222"/>
      <c r="G71" s="222"/>
      <c r="H71" s="225"/>
      <c r="I71" s="231" t="s">
        <v>11</v>
      </c>
      <c r="J71" s="232"/>
      <c r="K71" s="233"/>
      <c r="L71" s="231" t="s">
        <v>12</v>
      </c>
      <c r="M71" s="233"/>
      <c r="N71" s="16"/>
      <c r="O71" s="465"/>
      <c r="P71" s="44">
        <v>125</v>
      </c>
      <c r="Q71" s="224" t="s">
        <v>482</v>
      </c>
      <c r="R71" s="222"/>
      <c r="S71" s="222"/>
      <c r="T71" s="222"/>
      <c r="U71" s="225"/>
      <c r="V71" s="231" t="s">
        <v>483</v>
      </c>
      <c r="W71" s="232"/>
      <c r="X71" s="233"/>
      <c r="Y71" s="226" t="s">
        <v>308</v>
      </c>
      <c r="Z71" s="227"/>
    </row>
    <row r="72" spans="1:26" ht="15" customHeight="1" x14ac:dyDescent="0.35">
      <c r="A72" s="16"/>
      <c r="B72" s="465"/>
      <c r="C72" s="44" t="s">
        <v>9</v>
      </c>
      <c r="D72" s="372"/>
      <c r="E72" s="373"/>
      <c r="F72" s="373"/>
      <c r="G72" s="373"/>
      <c r="H72" s="374"/>
      <c r="I72" s="394"/>
      <c r="J72" s="370"/>
      <c r="K72" s="395"/>
      <c r="L72" s="231"/>
      <c r="M72" s="233"/>
      <c r="N72" s="16"/>
      <c r="O72" s="465"/>
      <c r="P72" s="44">
        <v>128</v>
      </c>
      <c r="Q72" s="224" t="s">
        <v>484</v>
      </c>
      <c r="R72" s="222"/>
      <c r="S72" s="222"/>
      <c r="T72" s="222"/>
      <c r="U72" s="225"/>
      <c r="V72" s="231" t="s">
        <v>483</v>
      </c>
      <c r="W72" s="232"/>
      <c r="X72" s="233"/>
      <c r="Y72" s="394" t="s">
        <v>308</v>
      </c>
      <c r="Z72" s="395"/>
    </row>
    <row r="73" spans="1:26" ht="15" customHeight="1" x14ac:dyDescent="0.35">
      <c r="A73" s="16"/>
      <c r="B73" s="466"/>
      <c r="C73" s="45">
        <v>19282</v>
      </c>
      <c r="D73" s="351" t="s">
        <v>485</v>
      </c>
      <c r="E73" s="352"/>
      <c r="F73" s="352"/>
      <c r="G73" s="352"/>
      <c r="H73" s="353"/>
      <c r="I73" s="248" t="s">
        <v>146</v>
      </c>
      <c r="J73" s="249"/>
      <c r="K73" s="250"/>
      <c r="L73" s="248" t="s">
        <v>12</v>
      </c>
      <c r="M73" s="250"/>
      <c r="N73" s="16"/>
      <c r="O73" s="466"/>
      <c r="P73" s="45">
        <v>130</v>
      </c>
      <c r="Q73" s="461" t="s">
        <v>486</v>
      </c>
      <c r="R73" s="462"/>
      <c r="S73" s="462"/>
      <c r="T73" s="462"/>
      <c r="U73" s="463"/>
      <c r="V73" s="231" t="s">
        <v>483</v>
      </c>
      <c r="W73" s="232"/>
      <c r="X73" s="233"/>
      <c r="Y73" s="394" t="s">
        <v>308</v>
      </c>
      <c r="Z73" s="395"/>
    </row>
    <row r="74" spans="1:26" ht="15" customHeight="1" x14ac:dyDescent="0.35">
      <c r="A74" s="16"/>
      <c r="B74" s="331">
        <v>185</v>
      </c>
      <c r="C74" s="11">
        <v>213</v>
      </c>
      <c r="D74" s="445" t="s">
        <v>487</v>
      </c>
      <c r="E74" s="446"/>
      <c r="F74" s="446"/>
      <c r="G74" s="446"/>
      <c r="H74" s="447"/>
      <c r="I74" s="206" t="s">
        <v>488</v>
      </c>
      <c r="J74" s="207"/>
      <c r="K74" s="208"/>
      <c r="L74" s="262" t="s">
        <v>308</v>
      </c>
      <c r="M74" s="264"/>
      <c r="N74" s="16"/>
      <c r="O74" s="331">
        <v>186</v>
      </c>
      <c r="P74" s="11">
        <v>131</v>
      </c>
      <c r="Q74" s="445" t="s">
        <v>489</v>
      </c>
      <c r="R74" s="446"/>
      <c r="S74" s="446"/>
      <c r="T74" s="446"/>
      <c r="U74" s="447"/>
      <c r="V74" s="206" t="s">
        <v>317</v>
      </c>
      <c r="W74" s="207"/>
      <c r="X74" s="208"/>
      <c r="Y74" s="206" t="s">
        <v>308</v>
      </c>
      <c r="Z74" s="208"/>
    </row>
    <row r="75" spans="1:26" ht="15" customHeight="1" x14ac:dyDescent="0.35">
      <c r="A75" s="16"/>
      <c r="B75" s="332"/>
      <c r="C75" s="13">
        <v>355</v>
      </c>
      <c r="D75" s="303" t="s">
        <v>490</v>
      </c>
      <c r="E75" s="304"/>
      <c r="F75" s="304"/>
      <c r="G75" s="304"/>
      <c r="H75" s="305"/>
      <c r="I75" s="285" t="s">
        <v>491</v>
      </c>
      <c r="J75" s="286"/>
      <c r="K75" s="287"/>
      <c r="L75" s="231" t="s">
        <v>308</v>
      </c>
      <c r="M75" s="233"/>
      <c r="N75" s="16"/>
      <c r="O75" s="332"/>
      <c r="P75" s="13">
        <v>321</v>
      </c>
      <c r="Q75" s="303" t="s">
        <v>492</v>
      </c>
      <c r="R75" s="304"/>
      <c r="S75" s="304"/>
      <c r="T75" s="304"/>
      <c r="U75" s="305"/>
      <c r="V75" s="313" t="s">
        <v>317</v>
      </c>
      <c r="W75" s="314"/>
      <c r="X75" s="315"/>
      <c r="Y75" s="285" t="s">
        <v>308</v>
      </c>
      <c r="Z75" s="287"/>
    </row>
    <row r="76" spans="1:26" ht="15" customHeight="1" x14ac:dyDescent="0.35">
      <c r="A76" s="16"/>
      <c r="B76" s="332"/>
      <c r="C76" s="13"/>
      <c r="D76" s="303"/>
      <c r="E76" s="304"/>
      <c r="F76" s="304"/>
      <c r="G76" s="304"/>
      <c r="H76" s="305"/>
      <c r="I76" s="285"/>
      <c r="J76" s="286"/>
      <c r="K76" s="287"/>
      <c r="L76" s="285"/>
      <c r="M76" s="287"/>
      <c r="N76" s="16"/>
      <c r="O76" s="332"/>
      <c r="P76" s="13"/>
      <c r="Q76" s="303"/>
      <c r="R76" s="304"/>
      <c r="S76" s="304"/>
      <c r="T76" s="304"/>
      <c r="U76" s="305"/>
      <c r="V76" s="285"/>
      <c r="W76" s="286"/>
      <c r="X76" s="287"/>
      <c r="Y76" s="292"/>
      <c r="Z76" s="294"/>
    </row>
    <row r="77" spans="1:26" ht="15" customHeight="1" x14ac:dyDescent="0.35">
      <c r="A77" s="16"/>
      <c r="B77" s="333"/>
      <c r="C77" s="14"/>
      <c r="D77" s="316"/>
      <c r="E77" s="317"/>
      <c r="F77" s="317"/>
      <c r="G77" s="317"/>
      <c r="H77" s="318"/>
      <c r="I77" s="297"/>
      <c r="J77" s="298"/>
      <c r="K77" s="299"/>
      <c r="L77" s="297"/>
      <c r="M77" s="299"/>
      <c r="N77" s="16"/>
      <c r="O77" s="333"/>
      <c r="P77" s="14">
        <v>235</v>
      </c>
      <c r="Q77" s="316" t="s">
        <v>493</v>
      </c>
      <c r="R77" s="317"/>
      <c r="S77" s="317"/>
      <c r="T77" s="317"/>
      <c r="U77" s="318"/>
      <c r="V77" s="319" t="s">
        <v>494</v>
      </c>
      <c r="W77" s="320"/>
      <c r="X77" s="321"/>
      <c r="Y77" s="297" t="s">
        <v>308</v>
      </c>
      <c r="Z77" s="299"/>
    </row>
    <row r="81" spans="1:26" ht="15" customHeight="1" x14ac:dyDescent="0.35">
      <c r="A81" s="7"/>
      <c r="B81" s="322" t="s">
        <v>495</v>
      </c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4"/>
    </row>
    <row r="82" spans="1:26" ht="15" customHeight="1" x14ac:dyDescent="0.35">
      <c r="A82" s="7"/>
      <c r="B82" s="325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7"/>
    </row>
    <row r="83" spans="1:26" ht="15" customHeight="1" x14ac:dyDescent="0.35">
      <c r="A83" s="7"/>
      <c r="B83" s="328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30"/>
    </row>
    <row r="87" spans="1:26" ht="15" customHeight="1" x14ac:dyDescent="0.35">
      <c r="A87" s="7"/>
      <c r="B87" s="454"/>
      <c r="C87" s="454"/>
      <c r="D87" s="454"/>
      <c r="E87" s="455" t="s">
        <v>496</v>
      </c>
      <c r="F87" s="274"/>
      <c r="G87" s="274"/>
      <c r="H87" s="274"/>
      <c r="I87" s="274"/>
      <c r="J87" s="274"/>
      <c r="K87" s="274"/>
      <c r="L87" s="274"/>
      <c r="M87" s="275"/>
      <c r="O87" s="237"/>
      <c r="P87" s="238"/>
      <c r="Q87" s="239"/>
      <c r="R87" s="274" t="s">
        <v>497</v>
      </c>
      <c r="S87" s="274"/>
      <c r="T87" s="274"/>
      <c r="U87" s="274"/>
      <c r="V87" s="274"/>
      <c r="W87" s="274"/>
      <c r="X87" s="274"/>
      <c r="Y87" s="274"/>
      <c r="Z87" s="275"/>
    </row>
    <row r="88" spans="1:26" ht="15" customHeight="1" x14ac:dyDescent="0.35">
      <c r="A88" s="7"/>
      <c r="B88" s="454"/>
      <c r="C88" s="454"/>
      <c r="D88" s="454"/>
      <c r="E88" s="456"/>
      <c r="F88" s="276"/>
      <c r="G88" s="276"/>
      <c r="H88" s="276"/>
      <c r="I88" s="276"/>
      <c r="J88" s="276"/>
      <c r="K88" s="276"/>
      <c r="L88" s="276"/>
      <c r="M88" s="277"/>
      <c r="O88" s="240"/>
      <c r="P88" s="241"/>
      <c r="Q88" s="242"/>
      <c r="R88" s="276"/>
      <c r="S88" s="276"/>
      <c r="T88" s="276"/>
      <c r="U88" s="276"/>
      <c r="V88" s="276"/>
      <c r="W88" s="276"/>
      <c r="X88" s="276"/>
      <c r="Y88" s="276"/>
      <c r="Z88" s="277"/>
    </row>
    <row r="89" spans="1:26" ht="14.5" x14ac:dyDescent="0.35">
      <c r="A89" s="7"/>
      <c r="B89" s="454"/>
      <c r="C89" s="454"/>
      <c r="D89" s="454"/>
      <c r="E89" s="457"/>
      <c r="F89" s="278"/>
      <c r="G89" s="278"/>
      <c r="H89" s="278"/>
      <c r="I89" s="278"/>
      <c r="J89" s="278"/>
      <c r="K89" s="278"/>
      <c r="L89" s="278"/>
      <c r="M89" s="279"/>
      <c r="O89" s="243"/>
      <c r="P89" s="244"/>
      <c r="Q89" s="245"/>
      <c r="R89" s="278"/>
      <c r="S89" s="278"/>
      <c r="T89" s="278"/>
      <c r="U89" s="278"/>
      <c r="V89" s="278"/>
      <c r="W89" s="278"/>
      <c r="X89" s="278"/>
      <c r="Y89" s="278"/>
      <c r="Z89" s="279"/>
    </row>
    <row r="90" spans="1:26" ht="15" customHeight="1" x14ac:dyDescent="0.35">
      <c r="A90" s="7"/>
      <c r="B90" s="138" t="s">
        <v>4</v>
      </c>
      <c r="C90" s="138" t="s">
        <v>5</v>
      </c>
      <c r="D90" s="280" t="s">
        <v>6</v>
      </c>
      <c r="E90" s="281"/>
      <c r="F90" s="281"/>
      <c r="G90" s="281"/>
      <c r="H90" s="282"/>
      <c r="I90" s="280" t="s">
        <v>7</v>
      </c>
      <c r="J90" s="281"/>
      <c r="K90" s="282"/>
      <c r="L90" s="280" t="s">
        <v>8</v>
      </c>
      <c r="M90" s="282"/>
      <c r="N90" s="139"/>
      <c r="O90" s="138" t="s">
        <v>4</v>
      </c>
      <c r="P90" s="138" t="s">
        <v>5</v>
      </c>
      <c r="Q90" s="280" t="s">
        <v>6</v>
      </c>
      <c r="R90" s="281"/>
      <c r="S90" s="281"/>
      <c r="T90" s="281"/>
      <c r="U90" s="282"/>
      <c r="V90" s="280" t="s">
        <v>7</v>
      </c>
      <c r="W90" s="281"/>
      <c r="X90" s="282"/>
      <c r="Y90" s="280" t="s">
        <v>8</v>
      </c>
      <c r="Z90" s="282"/>
    </row>
    <row r="91" spans="1:26" ht="15" customHeight="1" x14ac:dyDescent="0.35">
      <c r="A91" s="7"/>
      <c r="B91" s="336">
        <v>187</v>
      </c>
      <c r="C91" s="11">
        <v>19070</v>
      </c>
      <c r="D91" s="303" t="s">
        <v>498</v>
      </c>
      <c r="E91" s="304"/>
      <c r="F91" s="304"/>
      <c r="G91" s="304"/>
      <c r="H91" s="305"/>
      <c r="I91" s="206" t="s">
        <v>25</v>
      </c>
      <c r="J91" s="207"/>
      <c r="K91" s="208"/>
      <c r="L91" s="341" t="s">
        <v>12</v>
      </c>
      <c r="M91" s="340"/>
      <c r="O91" s="336">
        <v>188</v>
      </c>
      <c r="P91" s="11"/>
      <c r="Q91" s="303"/>
      <c r="R91" s="304"/>
      <c r="S91" s="304"/>
      <c r="T91" s="304"/>
      <c r="U91" s="305"/>
      <c r="V91" s="313"/>
      <c r="W91" s="314"/>
      <c r="X91" s="315"/>
      <c r="Y91" s="226"/>
      <c r="Z91" s="227"/>
    </row>
    <row r="92" spans="1:26" ht="15" customHeight="1" x14ac:dyDescent="0.35">
      <c r="A92" s="7"/>
      <c r="B92" s="337"/>
      <c r="C92" s="13" t="s">
        <v>9</v>
      </c>
      <c r="D92" s="228"/>
      <c r="E92" s="229"/>
      <c r="F92" s="229"/>
      <c r="G92" s="229"/>
      <c r="H92" s="230"/>
      <c r="I92" s="256"/>
      <c r="J92" s="257"/>
      <c r="K92" s="258"/>
      <c r="L92" s="288"/>
      <c r="M92" s="289"/>
      <c r="O92" s="337"/>
      <c r="P92" s="13"/>
      <c r="Q92" s="303"/>
      <c r="R92" s="304"/>
      <c r="S92" s="304"/>
      <c r="T92" s="304"/>
      <c r="U92" s="305"/>
      <c r="V92" s="285"/>
      <c r="W92" s="286"/>
      <c r="X92" s="287"/>
      <c r="Y92" s="226"/>
      <c r="Z92" s="227"/>
    </row>
    <row r="93" spans="1:26" ht="15" customHeight="1" x14ac:dyDescent="0.35">
      <c r="A93" s="7"/>
      <c r="B93" s="337"/>
      <c r="C93" s="12">
        <v>19885</v>
      </c>
      <c r="D93" s="212" t="s">
        <v>499</v>
      </c>
      <c r="E93" s="213"/>
      <c r="F93" s="213"/>
      <c r="G93" s="213"/>
      <c r="H93" s="214"/>
      <c r="I93" s="292" t="s">
        <v>29</v>
      </c>
      <c r="J93" s="293"/>
      <c r="K93" s="453"/>
      <c r="L93" s="251" t="s">
        <v>12</v>
      </c>
      <c r="M93" s="252"/>
      <c r="O93" s="337"/>
      <c r="P93" s="13">
        <v>5</v>
      </c>
      <c r="Q93" s="303" t="s">
        <v>500</v>
      </c>
      <c r="R93" s="304"/>
      <c r="S93" s="304"/>
      <c r="T93" s="304"/>
      <c r="U93" s="305"/>
      <c r="V93" s="285" t="s">
        <v>378</v>
      </c>
      <c r="W93" s="286"/>
      <c r="X93" s="287"/>
      <c r="Y93" s="226" t="s">
        <v>379</v>
      </c>
      <c r="Z93" s="227"/>
    </row>
    <row r="94" spans="1:26" ht="15" customHeight="1" x14ac:dyDescent="0.35">
      <c r="A94" s="7"/>
      <c r="B94" s="338"/>
      <c r="C94" s="14" t="s">
        <v>9</v>
      </c>
      <c r="D94" s="524"/>
      <c r="E94" s="525"/>
      <c r="F94" s="525"/>
      <c r="G94" s="525"/>
      <c r="H94" s="526"/>
      <c r="I94" s="297"/>
      <c r="J94" s="298"/>
      <c r="K94" s="299"/>
      <c r="L94" s="259"/>
      <c r="M94" s="260"/>
      <c r="O94" s="338"/>
      <c r="P94" s="14">
        <v>7</v>
      </c>
      <c r="Q94" s="524" t="s">
        <v>501</v>
      </c>
      <c r="R94" s="525"/>
      <c r="S94" s="525"/>
      <c r="T94" s="525"/>
      <c r="U94" s="526"/>
      <c r="V94" s="297" t="s">
        <v>378</v>
      </c>
      <c r="W94" s="298"/>
      <c r="X94" s="299"/>
      <c r="Y94" s="251" t="s">
        <v>379</v>
      </c>
      <c r="Z94" s="252"/>
    </row>
    <row r="95" spans="1:26" ht="15" customHeight="1" x14ac:dyDescent="0.35">
      <c r="A95" s="7"/>
      <c r="B95" s="355">
        <v>189</v>
      </c>
      <c r="C95" s="76" t="s">
        <v>9</v>
      </c>
      <c r="D95" s="458"/>
      <c r="E95" s="459"/>
      <c r="F95" s="459"/>
      <c r="G95" s="459"/>
      <c r="H95" s="460"/>
      <c r="I95" s="262"/>
      <c r="J95" s="263"/>
      <c r="K95" s="263"/>
      <c r="L95" s="341"/>
      <c r="M95" s="340"/>
      <c r="O95" s="355">
        <v>190</v>
      </c>
      <c r="P95" s="43"/>
      <c r="Q95" s="458"/>
      <c r="R95" s="459"/>
      <c r="S95" s="459"/>
      <c r="T95" s="459"/>
      <c r="U95" s="460"/>
      <c r="V95" s="262"/>
      <c r="W95" s="263"/>
      <c r="X95" s="263"/>
      <c r="Y95" s="401"/>
      <c r="Z95" s="402"/>
    </row>
    <row r="96" spans="1:26" ht="15" customHeight="1" x14ac:dyDescent="0.35">
      <c r="A96" s="7"/>
      <c r="B96" s="355"/>
      <c r="C96" s="44">
        <v>19111</v>
      </c>
      <c r="D96" s="224" t="s">
        <v>502</v>
      </c>
      <c r="E96" s="222"/>
      <c r="F96" s="222"/>
      <c r="G96" s="222"/>
      <c r="H96" s="225"/>
      <c r="I96" s="231" t="s">
        <v>503</v>
      </c>
      <c r="J96" s="232"/>
      <c r="K96" s="233"/>
      <c r="L96" s="226" t="s">
        <v>12</v>
      </c>
      <c r="M96" s="227"/>
      <c r="O96" s="355"/>
      <c r="P96" s="44">
        <v>230</v>
      </c>
      <c r="Q96" s="224" t="s">
        <v>504</v>
      </c>
      <c r="R96" s="222"/>
      <c r="S96" s="222"/>
      <c r="T96" s="222"/>
      <c r="U96" s="225"/>
      <c r="V96" s="403" t="s">
        <v>315</v>
      </c>
      <c r="W96" s="404"/>
      <c r="X96" s="405"/>
      <c r="Y96" s="406" t="s">
        <v>308</v>
      </c>
      <c r="Z96" s="407"/>
    </row>
    <row r="97" spans="1:26" ht="15" customHeight="1" x14ac:dyDescent="0.35">
      <c r="A97" s="7"/>
      <c r="B97" s="355"/>
      <c r="C97" s="44">
        <v>20033</v>
      </c>
      <c r="D97" s="224" t="s">
        <v>505</v>
      </c>
      <c r="E97" s="222"/>
      <c r="F97" s="222"/>
      <c r="G97" s="222"/>
      <c r="H97" s="225"/>
      <c r="I97" s="231" t="s">
        <v>506</v>
      </c>
      <c r="J97" s="232"/>
      <c r="K97" s="232"/>
      <c r="L97" s="226" t="s">
        <v>12</v>
      </c>
      <c r="M97" s="227"/>
      <c r="O97" s="355"/>
      <c r="P97" s="171"/>
      <c r="Q97" s="234"/>
      <c r="R97" s="235"/>
      <c r="S97" s="235"/>
      <c r="T97" s="235"/>
      <c r="U97" s="236"/>
      <c r="V97" s="408"/>
      <c r="W97" s="409"/>
      <c r="X97" s="410"/>
      <c r="Y97" s="226"/>
      <c r="Z97" s="227"/>
    </row>
    <row r="98" spans="1:26" ht="15" customHeight="1" x14ac:dyDescent="0.35">
      <c r="A98" s="7"/>
      <c r="B98" s="356"/>
      <c r="C98" s="45" t="s">
        <v>9</v>
      </c>
      <c r="D98" s="351"/>
      <c r="E98" s="352"/>
      <c r="F98" s="352"/>
      <c r="G98" s="352"/>
      <c r="H98" s="353"/>
      <c r="I98" s="248"/>
      <c r="J98" s="249"/>
      <c r="K98" s="249"/>
      <c r="L98" s="300"/>
      <c r="M98" s="301"/>
      <c r="O98" s="356"/>
      <c r="P98" s="45"/>
      <c r="Q98" s="351"/>
      <c r="R98" s="352"/>
      <c r="S98" s="352"/>
      <c r="T98" s="352"/>
      <c r="U98" s="353"/>
      <c r="V98" s="248"/>
      <c r="W98" s="249"/>
      <c r="X98" s="249"/>
      <c r="Y98" s="251"/>
      <c r="Z98" s="252"/>
    </row>
    <row r="99" spans="1:26" ht="15" customHeight="1" x14ac:dyDescent="0.35">
      <c r="A99" s="7"/>
      <c r="B99" s="336">
        <v>191</v>
      </c>
      <c r="C99" s="12">
        <v>19512</v>
      </c>
      <c r="D99" s="445" t="s">
        <v>352</v>
      </c>
      <c r="E99" s="446"/>
      <c r="F99" s="446"/>
      <c r="G99" s="446"/>
      <c r="H99" s="447"/>
      <c r="I99" s="206" t="s">
        <v>353</v>
      </c>
      <c r="J99" s="207"/>
      <c r="K99" s="208"/>
      <c r="L99" s="438" t="s">
        <v>12</v>
      </c>
      <c r="M99" s="247"/>
      <c r="O99" s="336">
        <v>192</v>
      </c>
      <c r="P99" s="13">
        <v>18356</v>
      </c>
      <c r="Q99" s="228" t="s">
        <v>244</v>
      </c>
      <c r="R99" s="229"/>
      <c r="S99" s="229"/>
      <c r="T99" s="229"/>
      <c r="U99" s="230"/>
      <c r="V99" s="256" t="s">
        <v>561</v>
      </c>
      <c r="W99" s="257"/>
      <c r="X99" s="258"/>
      <c r="Y99" s="392" t="s">
        <v>12</v>
      </c>
      <c r="Z99" s="393"/>
    </row>
    <row r="100" spans="1:26" ht="15" customHeight="1" x14ac:dyDescent="0.35">
      <c r="A100" s="7"/>
      <c r="B100" s="337"/>
      <c r="C100" s="13" t="s">
        <v>9</v>
      </c>
      <c r="D100" s="303"/>
      <c r="E100" s="304"/>
      <c r="F100" s="304"/>
      <c r="G100" s="304"/>
      <c r="H100" s="305"/>
      <c r="I100" s="285"/>
      <c r="J100" s="286"/>
      <c r="K100" s="287"/>
      <c r="L100" s="261"/>
      <c r="M100" s="227"/>
      <c r="O100" s="337"/>
      <c r="P100" s="13">
        <v>19495</v>
      </c>
      <c r="Q100" s="228" t="s">
        <v>245</v>
      </c>
      <c r="R100" s="229"/>
      <c r="S100" s="229"/>
      <c r="T100" s="229"/>
      <c r="U100" s="230"/>
      <c r="V100" s="256" t="s">
        <v>128</v>
      </c>
      <c r="W100" s="257"/>
      <c r="X100" s="258"/>
      <c r="Y100" s="396" t="s">
        <v>12</v>
      </c>
      <c r="Z100" s="397"/>
    </row>
    <row r="101" spans="1:26" ht="15" customHeight="1" x14ac:dyDescent="0.35">
      <c r="A101" s="7"/>
      <c r="B101" s="337"/>
      <c r="C101" s="13">
        <v>19533</v>
      </c>
      <c r="D101" s="303" t="s">
        <v>356</v>
      </c>
      <c r="E101" s="304"/>
      <c r="F101" s="304"/>
      <c r="G101" s="304"/>
      <c r="H101" s="305"/>
      <c r="I101" s="285" t="s">
        <v>357</v>
      </c>
      <c r="J101" s="286"/>
      <c r="K101" s="287"/>
      <c r="L101" s="311" t="s">
        <v>12</v>
      </c>
      <c r="M101" s="312"/>
      <c r="O101" s="337"/>
      <c r="P101" s="13">
        <v>19491</v>
      </c>
      <c r="Q101" s="228" t="s">
        <v>243</v>
      </c>
      <c r="R101" s="229"/>
      <c r="S101" s="229"/>
      <c r="T101" s="229"/>
      <c r="U101" s="230"/>
      <c r="V101" s="398" t="s">
        <v>562</v>
      </c>
      <c r="W101" s="399"/>
      <c r="X101" s="400"/>
      <c r="Y101" s="283" t="s">
        <v>12</v>
      </c>
      <c r="Z101" s="284"/>
    </row>
    <row r="102" spans="1:26" ht="15" customHeight="1" x14ac:dyDescent="0.35">
      <c r="A102" s="7"/>
      <c r="B102" s="338"/>
      <c r="C102" s="13" t="s">
        <v>9</v>
      </c>
      <c r="D102" s="448"/>
      <c r="E102" s="449"/>
      <c r="F102" s="449"/>
      <c r="G102" s="449"/>
      <c r="H102" s="450"/>
      <c r="I102" s="309"/>
      <c r="J102" s="309"/>
      <c r="K102" s="310"/>
      <c r="L102" s="251"/>
      <c r="M102" s="252"/>
      <c r="O102" s="338"/>
      <c r="P102" s="14"/>
      <c r="Q102" s="389" t="s">
        <v>522</v>
      </c>
      <c r="R102" s="390"/>
      <c r="S102" s="390"/>
      <c r="T102" s="390"/>
      <c r="U102" s="391"/>
      <c r="V102" s="297"/>
      <c r="W102" s="298"/>
      <c r="X102" s="299"/>
      <c r="Y102" s="259" t="s">
        <v>12</v>
      </c>
      <c r="Z102" s="260"/>
    </row>
    <row r="103" spans="1:26" ht="15" customHeight="1" x14ac:dyDescent="0.35">
      <c r="A103" s="7"/>
      <c r="B103" s="354">
        <v>193</v>
      </c>
      <c r="C103" s="43">
        <v>18745</v>
      </c>
      <c r="D103" s="372" t="s">
        <v>510</v>
      </c>
      <c r="E103" s="373"/>
      <c r="F103" s="373"/>
      <c r="G103" s="373"/>
      <c r="H103" s="374"/>
      <c r="I103" s="394" t="s">
        <v>128</v>
      </c>
      <c r="J103" s="370"/>
      <c r="K103" s="395"/>
      <c r="L103" s="451" t="s">
        <v>12</v>
      </c>
      <c r="M103" s="452"/>
      <c r="O103" s="354">
        <v>194</v>
      </c>
      <c r="P103" s="47">
        <v>109</v>
      </c>
      <c r="Q103" s="372" t="s">
        <v>511</v>
      </c>
      <c r="R103" s="373"/>
      <c r="S103" s="373"/>
      <c r="T103" s="373"/>
      <c r="U103" s="374"/>
      <c r="V103" s="394" t="s">
        <v>512</v>
      </c>
      <c r="W103" s="370"/>
      <c r="X103" s="395"/>
      <c r="Y103" s="392" t="s">
        <v>308</v>
      </c>
      <c r="Z103" s="393"/>
    </row>
    <row r="104" spans="1:26" ht="15" customHeight="1" x14ac:dyDescent="0.35">
      <c r="A104" s="7"/>
      <c r="B104" s="355"/>
      <c r="C104" s="44" t="s">
        <v>9</v>
      </c>
      <c r="D104" s="224"/>
      <c r="E104" s="222"/>
      <c r="F104" s="222"/>
      <c r="G104" s="222"/>
      <c r="H104" s="225"/>
      <c r="I104" s="231"/>
      <c r="J104" s="232"/>
      <c r="K104" s="233"/>
      <c r="L104" s="226"/>
      <c r="M104" s="227"/>
      <c r="O104" s="355"/>
      <c r="P104" s="44"/>
      <c r="Q104" s="224"/>
      <c r="R104" s="222"/>
      <c r="S104" s="222"/>
      <c r="T104" s="222"/>
      <c r="U104" s="225"/>
      <c r="V104" s="231"/>
      <c r="W104" s="232"/>
      <c r="X104" s="233"/>
      <c r="Y104" s="283"/>
      <c r="Z104" s="284"/>
    </row>
    <row r="105" spans="1:26" ht="15" customHeight="1" x14ac:dyDescent="0.35">
      <c r="A105" s="7"/>
      <c r="B105" s="355"/>
      <c r="C105" s="44">
        <v>19561</v>
      </c>
      <c r="D105" s="224" t="s">
        <v>513</v>
      </c>
      <c r="E105" s="222"/>
      <c r="F105" s="222"/>
      <c r="G105" s="222"/>
      <c r="H105" s="225"/>
      <c r="I105" s="231" t="s">
        <v>40</v>
      </c>
      <c r="J105" s="232"/>
      <c r="K105" s="233"/>
      <c r="L105" s="283" t="s">
        <v>12</v>
      </c>
      <c r="M105" s="284"/>
      <c r="O105" s="355"/>
      <c r="P105" s="44"/>
      <c r="Q105" s="224"/>
      <c r="R105" s="222"/>
      <c r="S105" s="222"/>
      <c r="T105" s="222"/>
      <c r="U105" s="225"/>
      <c r="V105" s="231"/>
      <c r="W105" s="232"/>
      <c r="X105" s="233"/>
      <c r="Y105" s="283"/>
      <c r="Z105" s="284"/>
    </row>
    <row r="106" spans="1:26" ht="15" customHeight="1" x14ac:dyDescent="0.35">
      <c r="A106" s="7"/>
      <c r="B106" s="356"/>
      <c r="C106" s="45">
        <v>19077</v>
      </c>
      <c r="D106" s="351" t="s">
        <v>514</v>
      </c>
      <c r="E106" s="352"/>
      <c r="F106" s="352"/>
      <c r="G106" s="352"/>
      <c r="H106" s="353"/>
      <c r="I106" s="248" t="s">
        <v>515</v>
      </c>
      <c r="J106" s="249"/>
      <c r="K106" s="250"/>
      <c r="L106" s="259" t="s">
        <v>12</v>
      </c>
      <c r="M106" s="260"/>
      <c r="O106" s="356"/>
      <c r="P106" s="45"/>
      <c r="Q106" s="351"/>
      <c r="R106" s="352"/>
      <c r="S106" s="352"/>
      <c r="T106" s="352"/>
      <c r="U106" s="353"/>
      <c r="V106" s="248"/>
      <c r="W106" s="249"/>
      <c r="X106" s="250"/>
      <c r="Y106" s="283"/>
      <c r="Z106" s="284"/>
    </row>
    <row r="107" spans="1:26" ht="15" customHeight="1" x14ac:dyDescent="0.35">
      <c r="A107" s="7"/>
      <c r="B107" s="336">
        <v>195</v>
      </c>
      <c r="C107" s="13" t="s">
        <v>9</v>
      </c>
      <c r="D107" s="435"/>
      <c r="E107" s="436"/>
      <c r="F107" s="436"/>
      <c r="G107" s="436"/>
      <c r="H107" s="437"/>
      <c r="I107" s="439"/>
      <c r="J107" s="440"/>
      <c r="K107" s="441"/>
      <c r="L107" s="292"/>
      <c r="M107" s="294"/>
      <c r="O107" s="336">
        <v>196</v>
      </c>
      <c r="P107" s="11">
        <v>19968</v>
      </c>
      <c r="Q107" s="445" t="s">
        <v>359</v>
      </c>
      <c r="R107" s="446"/>
      <c r="S107" s="446"/>
      <c r="T107" s="446"/>
      <c r="U107" s="447"/>
      <c r="V107" s="206" t="s">
        <v>19</v>
      </c>
      <c r="W107" s="207"/>
      <c r="X107" s="208"/>
      <c r="Y107" s="246" t="s">
        <v>12</v>
      </c>
      <c r="Z107" s="247"/>
    </row>
    <row r="108" spans="1:26" ht="15" customHeight="1" x14ac:dyDescent="0.35">
      <c r="A108" s="7"/>
      <c r="B108" s="337"/>
      <c r="C108" s="12">
        <v>19918</v>
      </c>
      <c r="D108" s="303" t="s">
        <v>516</v>
      </c>
      <c r="E108" s="304"/>
      <c r="F108" s="304"/>
      <c r="G108" s="304"/>
      <c r="H108" s="305"/>
      <c r="I108" s="285" t="s">
        <v>21</v>
      </c>
      <c r="J108" s="286"/>
      <c r="K108" s="287"/>
      <c r="L108" s="226" t="s">
        <v>12</v>
      </c>
      <c r="M108" s="227"/>
      <c r="O108" s="337"/>
      <c r="P108" s="159" t="s">
        <v>9</v>
      </c>
      <c r="Q108" s="212"/>
      <c r="R108" s="213"/>
      <c r="S108" s="213"/>
      <c r="T108" s="213"/>
      <c r="U108" s="214"/>
      <c r="V108" s="292"/>
      <c r="W108" s="293"/>
      <c r="X108" s="294"/>
      <c r="Y108" s="288"/>
      <c r="Z108" s="289"/>
    </row>
    <row r="109" spans="1:26" ht="15" customHeight="1" x14ac:dyDescent="0.35">
      <c r="A109" s="7"/>
      <c r="B109" s="337"/>
      <c r="C109" s="128">
        <v>19852</v>
      </c>
      <c r="D109" s="303" t="s">
        <v>517</v>
      </c>
      <c r="E109" s="304"/>
      <c r="F109" s="304"/>
      <c r="G109" s="304"/>
      <c r="H109" s="305"/>
      <c r="I109" s="285" t="s">
        <v>126</v>
      </c>
      <c r="J109" s="286"/>
      <c r="K109" s="287"/>
      <c r="L109" s="226" t="s">
        <v>12</v>
      </c>
      <c r="M109" s="227"/>
      <c r="O109" s="337"/>
      <c r="P109" s="13">
        <v>19921</v>
      </c>
      <c r="Q109" s="303" t="s">
        <v>518</v>
      </c>
      <c r="R109" s="304"/>
      <c r="S109" s="304"/>
      <c r="T109" s="304"/>
      <c r="U109" s="304"/>
      <c r="V109" s="387" t="s">
        <v>128</v>
      </c>
      <c r="W109" s="286"/>
      <c r="X109" s="388"/>
      <c r="Y109" s="251" t="s">
        <v>12</v>
      </c>
      <c r="Z109" s="252"/>
    </row>
    <row r="110" spans="1:26" ht="15" customHeight="1" x14ac:dyDescent="0.35">
      <c r="A110" s="7"/>
      <c r="B110" s="338"/>
      <c r="C110" s="168">
        <v>19368</v>
      </c>
      <c r="D110" s="303" t="s">
        <v>519</v>
      </c>
      <c r="E110" s="304"/>
      <c r="F110" s="304"/>
      <c r="G110" s="304"/>
      <c r="H110" s="305"/>
      <c r="I110" s="442" t="s">
        <v>19</v>
      </c>
      <c r="J110" s="443"/>
      <c r="K110" s="444"/>
      <c r="L110" s="259" t="s">
        <v>12</v>
      </c>
      <c r="M110" s="260"/>
      <c r="O110" s="338"/>
      <c r="P110" s="65" t="s">
        <v>9</v>
      </c>
      <c r="Q110" s="382"/>
      <c r="R110" s="317"/>
      <c r="S110" s="317"/>
      <c r="T110" s="317"/>
      <c r="U110" s="318"/>
      <c r="V110" s="297"/>
      <c r="W110" s="298"/>
      <c r="X110" s="299"/>
      <c r="Y110" s="297"/>
      <c r="Z110" s="299"/>
    </row>
    <row r="111" spans="1:26" ht="15" customHeight="1" x14ac:dyDescent="0.35">
      <c r="A111" s="7"/>
      <c r="B111" s="354">
        <v>197</v>
      </c>
      <c r="C111" s="43"/>
      <c r="D111" s="458"/>
      <c r="E111" s="459"/>
      <c r="F111" s="459"/>
      <c r="G111" s="459"/>
      <c r="H111" s="460"/>
      <c r="I111" s="262"/>
      <c r="J111" s="263"/>
      <c r="K111" s="264"/>
      <c r="L111" s="341"/>
      <c r="M111" s="340"/>
      <c r="O111" s="354">
        <v>198</v>
      </c>
      <c r="P111" s="46">
        <v>18245</v>
      </c>
      <c r="Q111" s="253" t="s">
        <v>520</v>
      </c>
      <c r="R111" s="254"/>
      <c r="S111" s="254"/>
      <c r="T111" s="254"/>
      <c r="U111" s="255"/>
      <c r="V111" s="271" t="s">
        <v>161</v>
      </c>
      <c r="W111" s="272"/>
      <c r="X111" s="273"/>
      <c r="Y111" s="334" t="s">
        <v>12</v>
      </c>
      <c r="Z111" s="335"/>
    </row>
    <row r="112" spans="1:26" ht="15" customHeight="1" x14ac:dyDescent="0.35">
      <c r="A112" s="7"/>
      <c r="B112" s="355"/>
      <c r="C112" s="44">
        <v>19680</v>
      </c>
      <c r="D112" s="224" t="s">
        <v>521</v>
      </c>
      <c r="E112" s="222"/>
      <c r="F112" s="222"/>
      <c r="G112" s="222"/>
      <c r="H112" s="225"/>
      <c r="I112" s="231" t="s">
        <v>182</v>
      </c>
      <c r="J112" s="232"/>
      <c r="K112" s="233"/>
      <c r="L112" s="283" t="s">
        <v>12</v>
      </c>
      <c r="M112" s="284"/>
      <c r="O112" s="355"/>
      <c r="P112" s="44"/>
      <c r="Q112" s="423"/>
      <c r="R112" s="424"/>
      <c r="S112" s="424"/>
      <c r="T112" s="424"/>
      <c r="U112" s="425"/>
      <c r="V112" s="268"/>
      <c r="W112" s="269"/>
      <c r="X112" s="270"/>
      <c r="Y112" s="383"/>
      <c r="Z112" s="384"/>
    </row>
    <row r="113" spans="1:26" ht="15" customHeight="1" x14ac:dyDescent="0.35">
      <c r="A113" s="7"/>
      <c r="B113" s="355"/>
      <c r="C113" s="44">
        <v>18965</v>
      </c>
      <c r="D113" s="420" t="s">
        <v>195</v>
      </c>
      <c r="E113" s="421"/>
      <c r="F113" s="421"/>
      <c r="G113" s="421"/>
      <c r="H113" s="422"/>
      <c r="I113" s="414" t="s">
        <v>19</v>
      </c>
      <c r="J113" s="415"/>
      <c r="K113" s="416"/>
      <c r="L113" s="226" t="s">
        <v>12</v>
      </c>
      <c r="M113" s="227"/>
      <c r="O113" s="355"/>
      <c r="P113" s="44"/>
      <c r="Q113" s="224"/>
      <c r="R113" s="222"/>
      <c r="S113" s="222"/>
      <c r="T113" s="222"/>
      <c r="U113" s="222"/>
      <c r="V113" s="381"/>
      <c r="W113" s="232"/>
      <c r="X113" s="302"/>
      <c r="Y113" s="231"/>
      <c r="Z113" s="233"/>
    </row>
    <row r="114" spans="1:26" ht="15" customHeight="1" x14ac:dyDescent="0.35">
      <c r="A114" s="7"/>
      <c r="B114" s="356"/>
      <c r="C114" s="47">
        <v>19673</v>
      </c>
      <c r="D114" s="351" t="s">
        <v>240</v>
      </c>
      <c r="E114" s="352"/>
      <c r="F114" s="352"/>
      <c r="G114" s="352"/>
      <c r="H114" s="353"/>
      <c r="I114" s="248" t="s">
        <v>146</v>
      </c>
      <c r="J114" s="249"/>
      <c r="K114" s="250"/>
      <c r="L114" s="346" t="s">
        <v>12</v>
      </c>
      <c r="M114" s="347"/>
      <c r="O114" s="356"/>
      <c r="P114" s="45"/>
      <c r="Q114" s="351"/>
      <c r="R114" s="352"/>
      <c r="S114" s="352"/>
      <c r="T114" s="352"/>
      <c r="U114" s="353"/>
      <c r="V114" s="248"/>
      <c r="W114" s="249"/>
      <c r="X114" s="250"/>
      <c r="Y114" s="231"/>
      <c r="Z114" s="233"/>
    </row>
    <row r="115" spans="1:26" ht="15" customHeight="1" x14ac:dyDescent="0.35">
      <c r="A115" s="7"/>
      <c r="B115" s="336">
        <v>199</v>
      </c>
      <c r="C115" s="11"/>
      <c r="D115" s="212"/>
      <c r="E115" s="213"/>
      <c r="F115" s="213"/>
      <c r="G115" s="213"/>
      <c r="H115" s="214"/>
      <c r="I115" s="292"/>
      <c r="J115" s="293"/>
      <c r="K115" s="294"/>
      <c r="L115" s="246"/>
      <c r="M115" s="247"/>
      <c r="O115" s="336">
        <v>200</v>
      </c>
      <c r="P115" s="11">
        <v>17897</v>
      </c>
      <c r="Q115" s="209" t="s">
        <v>220</v>
      </c>
      <c r="R115" s="210"/>
      <c r="S115" s="210"/>
      <c r="T115" s="210"/>
      <c r="U115" s="211"/>
      <c r="V115" s="265" t="s">
        <v>16</v>
      </c>
      <c r="W115" s="266"/>
      <c r="X115" s="267"/>
      <c r="Y115" s="385" t="s">
        <v>12</v>
      </c>
      <c r="Z115" s="386"/>
    </row>
    <row r="116" spans="1:26" ht="15" customHeight="1" x14ac:dyDescent="0.35">
      <c r="A116" s="7"/>
      <c r="B116" s="337"/>
      <c r="C116" s="13">
        <v>19417</v>
      </c>
      <c r="D116" s="303" t="s">
        <v>523</v>
      </c>
      <c r="E116" s="304"/>
      <c r="F116" s="304"/>
      <c r="G116" s="304"/>
      <c r="H116" s="305"/>
      <c r="I116" s="285" t="s">
        <v>128</v>
      </c>
      <c r="J116" s="286"/>
      <c r="K116" s="287"/>
      <c r="L116" s="226" t="s">
        <v>12</v>
      </c>
      <c r="M116" s="227"/>
      <c r="O116" s="337"/>
      <c r="P116" s="13" t="s">
        <v>9</v>
      </c>
      <c r="Q116" s="228"/>
      <c r="R116" s="229"/>
      <c r="S116" s="229"/>
      <c r="T116" s="229"/>
      <c r="U116" s="230"/>
      <c r="V116" s="256"/>
      <c r="W116" s="257"/>
      <c r="X116" s="258"/>
      <c r="Y116" s="378" t="s">
        <v>12</v>
      </c>
      <c r="Z116" s="379"/>
    </row>
    <row r="117" spans="1:26" ht="15" customHeight="1" x14ac:dyDescent="0.35">
      <c r="A117" s="7"/>
      <c r="B117" s="337"/>
      <c r="C117" s="13">
        <v>19252</v>
      </c>
      <c r="D117" s="303" t="s">
        <v>524</v>
      </c>
      <c r="E117" s="304"/>
      <c r="F117" s="304"/>
      <c r="G117" s="304"/>
      <c r="H117" s="305"/>
      <c r="I117" s="285" t="s">
        <v>128</v>
      </c>
      <c r="J117" s="286"/>
      <c r="K117" s="287"/>
      <c r="L117" s="226" t="s">
        <v>12</v>
      </c>
      <c r="M117" s="227"/>
      <c r="N117" s="7"/>
      <c r="O117" s="337"/>
      <c r="P117" s="13" t="s">
        <v>9</v>
      </c>
      <c r="Q117" s="228"/>
      <c r="R117" s="229"/>
      <c r="S117" s="229"/>
      <c r="T117" s="229"/>
      <c r="U117" s="230"/>
      <c r="V117" s="256"/>
      <c r="W117" s="257"/>
      <c r="X117" s="258"/>
      <c r="Y117" s="283"/>
      <c r="Z117" s="284"/>
    </row>
    <row r="118" spans="1:26" ht="15" customHeight="1" x14ac:dyDescent="0.35">
      <c r="A118" s="7"/>
      <c r="B118" s="338"/>
      <c r="C118" s="14"/>
      <c r="D118" s="316"/>
      <c r="E118" s="317"/>
      <c r="F118" s="317"/>
      <c r="G118" s="317"/>
      <c r="H118" s="318"/>
      <c r="I118" s="297"/>
      <c r="J118" s="298"/>
      <c r="K118" s="299"/>
      <c r="L118" s="346"/>
      <c r="M118" s="347"/>
      <c r="O118" s="338"/>
      <c r="P118" s="14">
        <v>18576</v>
      </c>
      <c r="Q118" s="215" t="s">
        <v>226</v>
      </c>
      <c r="R118" s="216"/>
      <c r="S118" s="216"/>
      <c r="T118" s="216"/>
      <c r="U118" s="217"/>
      <c r="V118" s="380" t="s">
        <v>16</v>
      </c>
      <c r="W118" s="309"/>
      <c r="X118" s="310"/>
      <c r="Y118" s="283" t="s">
        <v>12</v>
      </c>
      <c r="Z118" s="284"/>
    </row>
    <row r="119" spans="1:26" ht="15" customHeight="1" x14ac:dyDescent="0.35">
      <c r="A119" s="7"/>
      <c r="B119" s="354">
        <v>201</v>
      </c>
      <c r="C119" s="43"/>
      <c r="D119" s="426"/>
      <c r="E119" s="427"/>
      <c r="F119" s="427"/>
      <c r="G119" s="427"/>
      <c r="H119" s="428"/>
      <c r="I119" s="533"/>
      <c r="J119" s="534"/>
      <c r="K119" s="535"/>
      <c r="L119" s="341"/>
      <c r="M119" s="340"/>
      <c r="O119" s="354">
        <v>202</v>
      </c>
      <c r="P119" s="172"/>
      <c r="Q119" s="218" t="s">
        <v>354</v>
      </c>
      <c r="R119" s="219"/>
      <c r="S119" s="219"/>
      <c r="T119" s="219"/>
      <c r="U119" s="220"/>
      <c r="V119" s="348" t="s">
        <v>161</v>
      </c>
      <c r="W119" s="349"/>
      <c r="X119" s="350"/>
      <c r="Y119" s="342" t="s">
        <v>12</v>
      </c>
      <c r="Z119" s="343"/>
    </row>
    <row r="120" spans="1:26" ht="15" customHeight="1" x14ac:dyDescent="0.35">
      <c r="A120" s="7"/>
      <c r="B120" s="355"/>
      <c r="C120" s="47">
        <v>18546</v>
      </c>
      <c r="D120" s="429" t="s">
        <v>228</v>
      </c>
      <c r="E120" s="430"/>
      <c r="F120" s="430"/>
      <c r="G120" s="430"/>
      <c r="H120" s="431"/>
      <c r="I120" s="411" t="s">
        <v>229</v>
      </c>
      <c r="J120" s="412"/>
      <c r="K120" s="413"/>
      <c r="L120" s="226" t="s">
        <v>12</v>
      </c>
      <c r="M120" s="227"/>
      <c r="O120" s="355"/>
      <c r="P120" s="44">
        <v>18292</v>
      </c>
      <c r="Q120" s="221" t="s">
        <v>362</v>
      </c>
      <c r="R120" s="222"/>
      <c r="S120" s="222"/>
      <c r="T120" s="222"/>
      <c r="U120" s="223"/>
      <c r="V120" s="232" t="s">
        <v>18</v>
      </c>
      <c r="W120" s="232"/>
      <c r="X120" s="233"/>
      <c r="Y120" s="344" t="s">
        <v>12</v>
      </c>
      <c r="Z120" s="345"/>
    </row>
    <row r="121" spans="1:26" ht="15" customHeight="1" x14ac:dyDescent="0.35">
      <c r="A121" s="7"/>
      <c r="B121" s="355"/>
      <c r="C121" s="175">
        <v>19977</v>
      </c>
      <c r="D121" s="420" t="s">
        <v>230</v>
      </c>
      <c r="E121" s="421"/>
      <c r="F121" s="421"/>
      <c r="G121" s="421"/>
      <c r="H121" s="422"/>
      <c r="I121" s="414" t="s">
        <v>40</v>
      </c>
      <c r="J121" s="415"/>
      <c r="K121" s="416"/>
      <c r="L121" s="226" t="s">
        <v>12</v>
      </c>
      <c r="M121" s="227"/>
      <c r="O121" s="355"/>
      <c r="P121" s="44"/>
      <c r="Q121" s="224"/>
      <c r="R121" s="222"/>
      <c r="S121" s="222"/>
      <c r="T121" s="222"/>
      <c r="U121" s="225"/>
      <c r="V121" s="231"/>
      <c r="W121" s="232"/>
      <c r="X121" s="233"/>
      <c r="Y121" s="226"/>
      <c r="Z121" s="227"/>
    </row>
    <row r="122" spans="1:26" ht="15" customHeight="1" x14ac:dyDescent="0.35">
      <c r="A122" s="7"/>
      <c r="B122" s="356"/>
      <c r="C122" s="45">
        <v>19500</v>
      </c>
      <c r="D122" s="432" t="s">
        <v>231</v>
      </c>
      <c r="E122" s="433"/>
      <c r="F122" s="433"/>
      <c r="G122" s="433"/>
      <c r="H122" s="434"/>
      <c r="I122" s="417" t="s">
        <v>232</v>
      </c>
      <c r="J122" s="418"/>
      <c r="K122" s="419"/>
      <c r="L122" s="226" t="s">
        <v>12</v>
      </c>
      <c r="M122" s="227"/>
      <c r="O122" s="356"/>
      <c r="P122" s="45"/>
      <c r="Q122" s="351"/>
      <c r="R122" s="352"/>
      <c r="S122" s="352"/>
      <c r="T122" s="352"/>
      <c r="U122" s="353"/>
      <c r="V122" s="58"/>
      <c r="W122" s="59"/>
      <c r="X122" s="60"/>
      <c r="Y122" s="346"/>
      <c r="Z122" s="347"/>
    </row>
    <row r="123" spans="1:26" ht="15" customHeight="1" x14ac:dyDescent="0.35">
      <c r="A123" s="7"/>
      <c r="B123" s="336">
        <v>203</v>
      </c>
      <c r="C123" s="12">
        <v>19227</v>
      </c>
      <c r="D123" s="212" t="s">
        <v>525</v>
      </c>
      <c r="E123" s="213"/>
      <c r="F123" s="213"/>
      <c r="G123" s="213"/>
      <c r="H123" s="214"/>
      <c r="I123" s="292" t="s">
        <v>526</v>
      </c>
      <c r="J123" s="293"/>
      <c r="K123" s="294"/>
      <c r="L123" s="341" t="s">
        <v>12</v>
      </c>
      <c r="M123" s="340"/>
      <c r="O123" s="336">
        <v>204</v>
      </c>
      <c r="P123" s="13"/>
      <c r="Q123" s="303" t="s">
        <v>572</v>
      </c>
      <c r="R123" s="304"/>
      <c r="S123" s="304"/>
      <c r="T123" s="304"/>
      <c r="U123" s="305"/>
      <c r="V123" s="285"/>
      <c r="W123" s="286"/>
      <c r="X123" s="287"/>
      <c r="Y123" s="283" t="s">
        <v>578</v>
      </c>
      <c r="Z123" s="284"/>
    </row>
    <row r="124" spans="1:26" ht="15" customHeight="1" x14ac:dyDescent="0.35">
      <c r="A124" s="7"/>
      <c r="B124" s="337"/>
      <c r="C124" s="13"/>
      <c r="D124" s="359"/>
      <c r="E124" s="360"/>
      <c r="F124" s="360"/>
      <c r="G124" s="360"/>
      <c r="H124" s="361"/>
      <c r="I124" s="256"/>
      <c r="J124" s="257"/>
      <c r="K124" s="258"/>
      <c r="L124" s="251"/>
      <c r="M124" s="252"/>
      <c r="O124" s="337"/>
      <c r="P124" s="13"/>
      <c r="Q124" s="303" t="s">
        <v>573</v>
      </c>
      <c r="R124" s="304"/>
      <c r="S124" s="304"/>
      <c r="T124" s="304"/>
      <c r="U124" s="305"/>
      <c r="V124" s="292"/>
      <c r="W124" s="293"/>
      <c r="X124" s="294"/>
      <c r="Y124" s="283" t="s">
        <v>578</v>
      </c>
      <c r="Z124" s="284"/>
    </row>
    <row r="125" spans="1:26" ht="15" customHeight="1" x14ac:dyDescent="0.35">
      <c r="A125" s="7"/>
      <c r="B125" s="337"/>
      <c r="C125" s="13"/>
      <c r="D125" s="364"/>
      <c r="E125" s="365"/>
      <c r="F125" s="365"/>
      <c r="G125" s="365"/>
      <c r="H125" s="366"/>
      <c r="I125" s="367"/>
      <c r="J125" s="368"/>
      <c r="K125" s="369"/>
      <c r="L125" s="226"/>
      <c r="M125" s="227"/>
      <c r="O125" s="337"/>
      <c r="P125" s="12"/>
      <c r="Q125" s="212" t="s">
        <v>574</v>
      </c>
      <c r="R125" s="213"/>
      <c r="S125" s="213"/>
      <c r="T125" s="213"/>
      <c r="U125" s="214"/>
      <c r="V125" s="292"/>
      <c r="W125" s="293"/>
      <c r="X125" s="294"/>
      <c r="Y125" s="283" t="s">
        <v>578</v>
      </c>
      <c r="Z125" s="284"/>
    </row>
    <row r="126" spans="1:26" ht="15" customHeight="1" x14ac:dyDescent="0.35">
      <c r="A126" s="7"/>
      <c r="B126" s="338"/>
      <c r="C126" s="14"/>
      <c r="D126" s="316"/>
      <c r="E126" s="317"/>
      <c r="F126" s="317"/>
      <c r="G126" s="317"/>
      <c r="H126" s="318"/>
      <c r="I126" s="319"/>
      <c r="J126" s="320"/>
      <c r="K126" s="321"/>
      <c r="L126" s="248"/>
      <c r="M126" s="250"/>
      <c r="O126" s="338"/>
      <c r="P126" s="14"/>
      <c r="Q126" s="316" t="s">
        <v>575</v>
      </c>
      <c r="R126" s="317"/>
      <c r="S126" s="317"/>
      <c r="T126" s="317"/>
      <c r="U126" s="318"/>
      <c r="V126" s="297"/>
      <c r="W126" s="298"/>
      <c r="X126" s="299"/>
      <c r="Y126" s="283" t="s">
        <v>578</v>
      </c>
      <c r="Z126" s="284"/>
    </row>
    <row r="127" spans="1:26" ht="15" customHeight="1" x14ac:dyDescent="0.35">
      <c r="A127" s="7"/>
      <c r="B127" s="354">
        <v>205</v>
      </c>
      <c r="C127" s="43" t="s">
        <v>9</v>
      </c>
      <c r="D127" s="372" t="s">
        <v>54</v>
      </c>
      <c r="E127" s="373"/>
      <c r="F127" s="373"/>
      <c r="G127" s="373"/>
      <c r="H127" s="374"/>
      <c r="I127" s="370" t="s">
        <v>55</v>
      </c>
      <c r="J127" s="370"/>
      <c r="K127" s="371"/>
      <c r="L127" s="261" t="s">
        <v>12</v>
      </c>
      <c r="M127" s="227"/>
      <c r="O127" s="354">
        <v>206</v>
      </c>
      <c r="P127" s="43">
        <v>19714</v>
      </c>
      <c r="Q127" s="224" t="s">
        <v>527</v>
      </c>
      <c r="R127" s="222"/>
      <c r="S127" s="222"/>
      <c r="T127" s="222"/>
      <c r="U127" s="225"/>
      <c r="V127" s="262" t="s">
        <v>528</v>
      </c>
      <c r="W127" s="263"/>
      <c r="X127" s="264"/>
      <c r="Y127" s="362" t="s">
        <v>12</v>
      </c>
      <c r="Z127" s="363"/>
    </row>
    <row r="128" spans="1:26" ht="15" customHeight="1" x14ac:dyDescent="0.35">
      <c r="A128" s="7"/>
      <c r="B128" s="355"/>
      <c r="C128" s="44" t="s">
        <v>9</v>
      </c>
      <c r="D128" s="224"/>
      <c r="E128" s="222"/>
      <c r="F128" s="222"/>
      <c r="G128" s="222"/>
      <c r="H128" s="225"/>
      <c r="I128" s="232"/>
      <c r="J128" s="232"/>
      <c r="K128" s="302"/>
      <c r="L128" s="261"/>
      <c r="M128" s="227"/>
      <c r="O128" s="355"/>
      <c r="P128" s="44"/>
      <c r="Q128" s="224"/>
      <c r="R128" s="222"/>
      <c r="S128" s="222"/>
      <c r="T128" s="222"/>
      <c r="U128" s="222"/>
      <c r="V128" s="381"/>
      <c r="W128" s="232"/>
      <c r="X128" s="302"/>
      <c r="Y128" s="226"/>
      <c r="Z128" s="227"/>
    </row>
    <row r="129" spans="1:26" ht="15" customHeight="1" x14ac:dyDescent="0.35">
      <c r="A129" s="7"/>
      <c r="B129" s="355"/>
      <c r="C129" s="44" t="s">
        <v>9</v>
      </c>
      <c r="D129" s="224" t="s">
        <v>56</v>
      </c>
      <c r="E129" s="222"/>
      <c r="F129" s="222"/>
      <c r="G129" s="222"/>
      <c r="H129" s="225"/>
      <c r="I129" s="231" t="s">
        <v>57</v>
      </c>
      <c r="J129" s="232"/>
      <c r="K129" s="302"/>
      <c r="L129" s="540" t="s">
        <v>12</v>
      </c>
      <c r="M129" s="541"/>
      <c r="O129" s="355"/>
      <c r="P129" s="44" t="s">
        <v>9</v>
      </c>
      <c r="Q129" s="224"/>
      <c r="R129" s="222"/>
      <c r="S129" s="222"/>
      <c r="T129" s="222"/>
      <c r="U129" s="225"/>
      <c r="V129" s="231"/>
      <c r="W129" s="232"/>
      <c r="X129" s="233"/>
      <c r="Y129" s="226"/>
      <c r="Z129" s="227"/>
    </row>
    <row r="130" spans="1:26" ht="15" customHeight="1" x14ac:dyDescent="0.35">
      <c r="A130" s="7"/>
      <c r="B130" s="356"/>
      <c r="C130" s="45" t="s">
        <v>9</v>
      </c>
      <c r="D130" s="375"/>
      <c r="E130" s="376"/>
      <c r="F130" s="376"/>
      <c r="G130" s="376"/>
      <c r="H130" s="377"/>
      <c r="I130" s="306"/>
      <c r="J130" s="307"/>
      <c r="K130" s="308"/>
      <c r="L130" s="346"/>
      <c r="M130" s="347"/>
      <c r="O130" s="356"/>
      <c r="P130" s="61"/>
      <c r="Q130" s="351" t="s">
        <v>529</v>
      </c>
      <c r="R130" s="352"/>
      <c r="S130" s="352"/>
      <c r="T130" s="352"/>
      <c r="U130" s="353"/>
      <c r="V130" s="248" t="s">
        <v>42</v>
      </c>
      <c r="W130" s="249"/>
      <c r="X130" s="56"/>
      <c r="Y130" s="357" t="s">
        <v>12</v>
      </c>
      <c r="Z130" s="358"/>
    </row>
    <row r="131" spans="1:26" ht="15" customHeight="1" x14ac:dyDescent="0.35">
      <c r="A131" s="7"/>
      <c r="B131" s="336">
        <v>207</v>
      </c>
      <c r="C131" s="11">
        <v>17745</v>
      </c>
      <c r="D131" s="303" t="s">
        <v>530</v>
      </c>
      <c r="E131" s="304"/>
      <c r="F131" s="304"/>
      <c r="G131" s="304"/>
      <c r="H131" s="305"/>
      <c r="I131" s="206" t="s">
        <v>531</v>
      </c>
      <c r="J131" s="207"/>
      <c r="K131" s="208"/>
      <c r="L131" s="341" t="s">
        <v>12</v>
      </c>
      <c r="M131" s="340"/>
      <c r="O131" s="336">
        <v>208</v>
      </c>
      <c r="P131" s="11"/>
      <c r="Q131" s="303" t="s">
        <v>532</v>
      </c>
      <c r="R131" s="304"/>
      <c r="S131" s="304"/>
      <c r="T131" s="304"/>
      <c r="U131" s="305"/>
      <c r="V131" s="206" t="s">
        <v>533</v>
      </c>
      <c r="W131" s="207"/>
      <c r="X131" s="208"/>
      <c r="Y131" s="339" t="s">
        <v>43</v>
      </c>
      <c r="Z131" s="340"/>
    </row>
    <row r="132" spans="1:26" ht="15" customHeight="1" x14ac:dyDescent="0.35">
      <c r="A132" s="7"/>
      <c r="B132" s="337"/>
      <c r="C132" s="13" t="s">
        <v>9</v>
      </c>
      <c r="D132" s="303"/>
      <c r="E132" s="304"/>
      <c r="F132" s="304"/>
      <c r="G132" s="304"/>
      <c r="H132" s="305"/>
      <c r="I132" s="285"/>
      <c r="J132" s="286"/>
      <c r="K132" s="287"/>
      <c r="L132" s="226"/>
      <c r="M132" s="227"/>
      <c r="O132" s="337"/>
      <c r="P132" s="12"/>
      <c r="Q132" s="303" t="s">
        <v>534</v>
      </c>
      <c r="R132" s="304"/>
      <c r="S132" s="304"/>
      <c r="T132" s="304"/>
      <c r="U132" s="305"/>
      <c r="V132" s="292" t="s">
        <v>42</v>
      </c>
      <c r="W132" s="293"/>
      <c r="X132" s="294"/>
      <c r="Y132" s="283" t="s">
        <v>43</v>
      </c>
      <c r="Z132" s="284"/>
    </row>
    <row r="133" spans="1:26" ht="15" customHeight="1" x14ac:dyDescent="0.35">
      <c r="A133" s="7"/>
      <c r="B133" s="337"/>
      <c r="C133" s="13" t="s">
        <v>9</v>
      </c>
      <c r="D133" s="539"/>
      <c r="E133" s="304"/>
      <c r="F133" s="304"/>
      <c r="G133" s="304"/>
      <c r="H133" s="305"/>
      <c r="I133" s="285"/>
      <c r="J133" s="286"/>
      <c r="K133" s="287"/>
      <c r="L133" s="226"/>
      <c r="M133" s="227"/>
      <c r="O133" s="337"/>
      <c r="P133" s="12"/>
      <c r="Q133" s="303" t="s">
        <v>535</v>
      </c>
      <c r="R133" s="304"/>
      <c r="S133" s="304"/>
      <c r="T133" s="304"/>
      <c r="U133" s="305"/>
      <c r="V133" s="292" t="s">
        <v>42</v>
      </c>
      <c r="W133" s="293"/>
      <c r="X133" s="294"/>
      <c r="Y133" s="283" t="s">
        <v>43</v>
      </c>
      <c r="Z133" s="284"/>
    </row>
    <row r="134" spans="1:26" ht="15" customHeight="1" x14ac:dyDescent="0.35">
      <c r="A134" s="7"/>
      <c r="B134" s="338"/>
      <c r="C134" s="77" t="s">
        <v>536</v>
      </c>
      <c r="D134" s="316" t="s">
        <v>537</v>
      </c>
      <c r="E134" s="317"/>
      <c r="F134" s="317"/>
      <c r="G134" s="317"/>
      <c r="H134" s="318"/>
      <c r="I134" s="297" t="s">
        <v>25</v>
      </c>
      <c r="J134" s="298"/>
      <c r="K134" s="299"/>
      <c r="L134" s="346" t="s">
        <v>12</v>
      </c>
      <c r="M134" s="347"/>
      <c r="O134" s="338"/>
      <c r="P134" s="14"/>
      <c r="Q134" s="316" t="s">
        <v>538</v>
      </c>
      <c r="R134" s="317"/>
      <c r="S134" s="317"/>
      <c r="T134" s="317"/>
      <c r="U134" s="318"/>
      <c r="V134" s="297" t="s">
        <v>539</v>
      </c>
      <c r="W134" s="298"/>
      <c r="X134" s="299"/>
      <c r="Y134" s="283" t="s">
        <v>43</v>
      </c>
      <c r="Z134" s="284"/>
    </row>
    <row r="138" spans="1:26" ht="15" customHeight="1" x14ac:dyDescent="0.35">
      <c r="A138" s="527" t="s">
        <v>0</v>
      </c>
      <c r="B138" s="528"/>
      <c r="C138" s="528"/>
      <c r="D138" s="529"/>
      <c r="F138" s="527" t="s">
        <v>105</v>
      </c>
      <c r="G138" s="528"/>
      <c r="H138" s="528"/>
      <c r="I138" s="529"/>
      <c r="J138" s="7"/>
      <c r="K138" s="527" t="s">
        <v>190</v>
      </c>
      <c r="L138" s="528"/>
      <c r="M138" s="528"/>
      <c r="N138" s="529"/>
    </row>
    <row r="139" spans="1:26" ht="15" customHeight="1" x14ac:dyDescent="0.35">
      <c r="A139" s="530"/>
      <c r="B139" s="531"/>
      <c r="C139" s="531"/>
      <c r="D139" s="532"/>
      <c r="F139" s="530"/>
      <c r="G139" s="531"/>
      <c r="H139" s="531"/>
      <c r="I139" s="532"/>
      <c r="J139" s="7"/>
      <c r="K139" s="530"/>
      <c r="L139" s="531"/>
      <c r="M139" s="531"/>
      <c r="N139" s="532"/>
    </row>
    <row r="140" spans="1:26" ht="15" customHeight="1" x14ac:dyDescent="0.35">
      <c r="J140" s="7"/>
    </row>
    <row r="141" spans="1:26" ht="15" customHeight="1" x14ac:dyDescent="0.35">
      <c r="A141" s="536" t="s">
        <v>8</v>
      </c>
      <c r="B141" s="536"/>
      <c r="C141" s="537" t="s">
        <v>405</v>
      </c>
      <c r="D141" s="538"/>
      <c r="F141" s="536" t="s">
        <v>8</v>
      </c>
      <c r="G141" s="536"/>
      <c r="H141" s="537" t="s">
        <v>405</v>
      </c>
      <c r="I141" s="538"/>
      <c r="J141" s="7"/>
      <c r="K141" s="536" t="s">
        <v>8</v>
      </c>
      <c r="L141" s="536"/>
      <c r="M141" s="537" t="s">
        <v>405</v>
      </c>
      <c r="N141" s="538"/>
    </row>
    <row r="142" spans="1:26" ht="15" customHeight="1" x14ac:dyDescent="0.35">
      <c r="A142" s="542" t="s">
        <v>12</v>
      </c>
      <c r="B142" s="542"/>
      <c r="C142" s="543">
        <f>COUNTIF($L$11:$M$42,"GEL")+COUNTIF($Y$11:$Z$42,"GEL")</f>
        <v>28</v>
      </c>
      <c r="D142" s="544"/>
      <c r="F142" s="542" t="s">
        <v>12</v>
      </c>
      <c r="G142" s="542"/>
      <c r="H142" s="543">
        <f>COUNTIF($L$58:$M$77,"GEL") + COUNTIF($Y$58:$Z$77,"GEL")</f>
        <v>10</v>
      </c>
      <c r="I142" s="544"/>
      <c r="K142" s="542" t="s">
        <v>12</v>
      </c>
      <c r="L142" s="542"/>
      <c r="M142" s="543">
        <f>COUNTIF($L$91:$M$134,"GEL") + COUNTIF($Y$91:$Z$134,"GEL")</f>
        <v>39</v>
      </c>
      <c r="N142" s="544"/>
    </row>
    <row r="143" spans="1:26" ht="15" customHeight="1" x14ac:dyDescent="0.35">
      <c r="A143" s="542" t="s">
        <v>255</v>
      </c>
      <c r="B143" s="542"/>
      <c r="C143" s="543">
        <f>COUNTIF($L$11:$M$42,"CONSELMAR")+COUNTIF($Y$11:$Z$42,"CONSELMAR")</f>
        <v>0</v>
      </c>
      <c r="D143" s="544"/>
      <c r="F143" s="542" t="s">
        <v>255</v>
      </c>
      <c r="G143" s="542"/>
      <c r="H143" s="543">
        <f>COUNTIF($L$58:$M$77,"CONSELMAR") + COUNTIF($Y$58:$Z$77,"CONSELMAR")</f>
        <v>0</v>
      </c>
      <c r="I143" s="544"/>
      <c r="K143" s="542" t="s">
        <v>255</v>
      </c>
      <c r="L143" s="542"/>
      <c r="M143" s="543">
        <f>COUNTIF($L$91:$M$134,"CONSELMAR") + COUNTIF($Y$91:$Z$134,"CONSELMAR")</f>
        <v>0</v>
      </c>
      <c r="N143" s="544"/>
    </row>
    <row r="144" spans="1:26" ht="15" customHeight="1" x14ac:dyDescent="0.35">
      <c r="A144" s="542" t="s">
        <v>308</v>
      </c>
      <c r="B144" s="542"/>
      <c r="C144" s="543">
        <f>COUNTIF($L$11:$M$42,"NUTRIVALE")+COUNTIF($Y$11:$Z$42,"NUTRIVALE")</f>
        <v>0</v>
      </c>
      <c r="D144" s="544"/>
      <c r="F144" s="542" t="s">
        <v>308</v>
      </c>
      <c r="G144" s="542"/>
      <c r="H144" s="543">
        <f>COUNTIF($L$58:$M$77,"NUTRIVALE") + COUNTIF($Y$58:$Z$77,"NUTRIVALE")</f>
        <v>11</v>
      </c>
      <c r="I144" s="544"/>
      <c r="K144" s="542" t="s">
        <v>308</v>
      </c>
      <c r="L144" s="542"/>
      <c r="M144" s="543">
        <f>COUNTIF($L$91:$M$134,"NUTRIVALE") + COUNTIF($Y$91:$Z$134,"NUTRIVALE")</f>
        <v>2</v>
      </c>
      <c r="N144" s="544"/>
    </row>
    <row r="145" spans="1:14" ht="15" customHeight="1" x14ac:dyDescent="0.35">
      <c r="A145" s="543" t="s">
        <v>425</v>
      </c>
      <c r="B145" s="544"/>
      <c r="C145" s="543">
        <f>COUNTIF($L$11:$M$42,"BRASILGUINDASTE")+COUNTIF($Y$11:$Z$42,"BRASILGUINDASTE")</f>
        <v>1</v>
      </c>
      <c r="D145" s="544"/>
      <c r="F145" s="543" t="s">
        <v>425</v>
      </c>
      <c r="G145" s="544"/>
      <c r="H145" s="543">
        <f>COUNTIF($L$58:$M$77,"DMT") + COUNTIF($Y$58:$Z$77,"DMT")</f>
        <v>0</v>
      </c>
      <c r="I145" s="544"/>
      <c r="K145" s="543" t="s">
        <v>425</v>
      </c>
      <c r="L145" s="544"/>
      <c r="M145" s="543">
        <f>COUNTIF($L$91:$M$134,"BRASILGUINDASTE") + COUNTIF($Y$91:$Z$134,"BRASILGUINDASTE")</f>
        <v>0</v>
      </c>
      <c r="N145" s="544"/>
    </row>
    <row r="146" spans="1:14" ht="15" customHeight="1" x14ac:dyDescent="0.35">
      <c r="A146" s="543" t="s">
        <v>151</v>
      </c>
      <c r="B146" s="544"/>
      <c r="C146" s="543">
        <f>COUNTIF($L$11:$M$42,"LUPATINI")+COUNTIF($Y$11:$Z$42,"LUPATINI")</f>
        <v>1</v>
      </c>
      <c r="D146" s="544"/>
      <c r="F146" s="543" t="s">
        <v>151</v>
      </c>
      <c r="G146" s="544"/>
      <c r="H146" s="543">
        <f>COUNTIF($L$58:$M$77,"CAF") + COUNTIF($Y$58:$Z$77,"CAF")</f>
        <v>0</v>
      </c>
      <c r="I146" s="544"/>
      <c r="K146" s="543" t="s">
        <v>540</v>
      </c>
      <c r="L146" s="544"/>
      <c r="M146" s="543">
        <f>COUNTIF($L$91:$M$134,"BUCAGRANS") + COUNTIF($Y$91:$Z$134,"BUCAGRANS")</f>
        <v>0</v>
      </c>
      <c r="N146" s="544"/>
    </row>
    <row r="147" spans="1:14" ht="15" customHeight="1" x14ac:dyDescent="0.35">
      <c r="A147" s="543" t="s">
        <v>43</v>
      </c>
      <c r="B147" s="544"/>
      <c r="C147" s="543">
        <f>COUNTIF($L$11:$M$42,"FJ TERRAPLENAGEM")+COUNTIF($Y$11:$Z$42,"FJ TERRAPLENAGEM")</f>
        <v>2</v>
      </c>
      <c r="D147" s="544"/>
      <c r="F147" s="543" t="s">
        <v>43</v>
      </c>
      <c r="G147" s="544"/>
      <c r="H147" s="543">
        <f>COUNTIF($L$58:$M$77,"FJ TERRAPLENAGEM") + COUNTIF($Y$58:$Z$77,"FJ TERRAPLENAGEM")</f>
        <v>0</v>
      </c>
      <c r="I147" s="544"/>
      <c r="K147" s="283" t="s">
        <v>379</v>
      </c>
      <c r="L147" s="284"/>
      <c r="M147" s="543">
        <f>COUNTIF($L$91:$M$134,"CONCREQUALI") + COUNTIF($Y$91:$Z$134,"CONCREQUALI")</f>
        <v>2</v>
      </c>
      <c r="N147" s="544"/>
    </row>
    <row r="148" spans="1:14" ht="15" customHeight="1" x14ac:dyDescent="0.35">
      <c r="A148" s="543"/>
      <c r="B148" s="544"/>
      <c r="C148" s="543"/>
      <c r="D148" s="544"/>
      <c r="F148" s="543"/>
      <c r="G148" s="544"/>
      <c r="H148" s="543">
        <f>COUNTIF($L$85:$M$149,"BRASTRAN") + COUNTIF($Y$85:$Z$149,"BRASTRAN")</f>
        <v>0</v>
      </c>
      <c r="I148" s="544"/>
      <c r="K148" s="543" t="s">
        <v>541</v>
      </c>
      <c r="L148" s="544"/>
      <c r="M148" s="543">
        <f>COUNTIF($L$91:$M$134,"CONSTRUSERVE") + COUNTIF($Y$91:$Z$134,"CONSTRUSERVE")</f>
        <v>0</v>
      </c>
      <c r="N148" s="544"/>
    </row>
    <row r="149" spans="1:14" ht="15" customHeight="1" x14ac:dyDescent="0.35">
      <c r="A149" s="50"/>
      <c r="B149" s="50"/>
      <c r="C149" s="50"/>
      <c r="D149" s="50"/>
      <c r="E149" s="7"/>
      <c r="F149" s="50"/>
      <c r="G149" s="50"/>
      <c r="H149" s="50"/>
      <c r="I149" s="50"/>
      <c r="J149" s="7"/>
      <c r="K149" s="543" t="s">
        <v>43</v>
      </c>
      <c r="L149" s="544"/>
      <c r="M149" s="543">
        <f>COUNTIF($L$91:$M$134,"FJ TERRAPLENAGEM") + COUNTIF($Y$91:$Z$134,"FJ TERRAPLENAGEM")</f>
        <v>4</v>
      </c>
      <c r="N149" s="544"/>
    </row>
    <row r="150" spans="1:14" ht="15" customHeight="1" x14ac:dyDescent="0.35">
      <c r="A150" s="546" t="s">
        <v>410</v>
      </c>
      <c r="B150" s="546"/>
      <c r="C150" s="546">
        <v>64</v>
      </c>
      <c r="D150" s="546"/>
      <c r="E150" s="7"/>
      <c r="F150" s="546" t="s">
        <v>410</v>
      </c>
      <c r="G150" s="546"/>
      <c r="H150" s="546">
        <v>40</v>
      </c>
      <c r="I150" s="546"/>
      <c r="J150" s="7"/>
      <c r="K150" s="546" t="s">
        <v>410</v>
      </c>
      <c r="L150" s="546"/>
      <c r="M150" s="546">
        <v>88</v>
      </c>
      <c r="N150" s="546"/>
    </row>
    <row r="151" spans="1:14" ht="15" customHeight="1" x14ac:dyDescent="0.35">
      <c r="A151" s="547" t="s">
        <v>411</v>
      </c>
      <c r="B151" s="547"/>
      <c r="C151" s="547">
        <f>SUM(C142:D148)</f>
        <v>32</v>
      </c>
      <c r="D151" s="547"/>
      <c r="E151" s="7"/>
      <c r="F151" s="547" t="s">
        <v>411</v>
      </c>
      <c r="G151" s="547"/>
      <c r="H151" s="547">
        <f>SUM(H142:I148)</f>
        <v>21</v>
      </c>
      <c r="I151" s="547"/>
      <c r="J151" s="7"/>
      <c r="K151" s="547" t="s">
        <v>411</v>
      </c>
      <c r="L151" s="547"/>
      <c r="M151" s="547">
        <f>SUM(M142:N149)</f>
        <v>47</v>
      </c>
      <c r="N151" s="547"/>
    </row>
    <row r="152" spans="1:14" ht="15" customHeight="1" x14ac:dyDescent="0.35">
      <c r="A152" s="545" t="s">
        <v>412</v>
      </c>
      <c r="B152" s="545"/>
      <c r="C152" s="545">
        <f>C150-C151</f>
        <v>32</v>
      </c>
      <c r="D152" s="545"/>
      <c r="E152" s="7"/>
      <c r="F152" s="545" t="s">
        <v>412</v>
      </c>
      <c r="G152" s="545"/>
      <c r="H152" s="545">
        <f>H150-H151</f>
        <v>19</v>
      </c>
      <c r="I152" s="545"/>
      <c r="J152" s="7"/>
      <c r="K152" s="545" t="s">
        <v>412</v>
      </c>
      <c r="L152" s="545"/>
      <c r="M152" s="545">
        <f>M150-M151</f>
        <v>41</v>
      </c>
      <c r="N152" s="545"/>
    </row>
  </sheetData>
  <mergeCells count="726">
    <mergeCell ref="V130:W130"/>
    <mergeCell ref="K149:L149"/>
    <mergeCell ref="M149:N149"/>
    <mergeCell ref="A152:B152"/>
    <mergeCell ref="C152:D152"/>
    <mergeCell ref="F152:G152"/>
    <mergeCell ref="H152:I152"/>
    <mergeCell ref="K152:L152"/>
    <mergeCell ref="M152:N152"/>
    <mergeCell ref="A150:B150"/>
    <mergeCell ref="C150:D150"/>
    <mergeCell ref="F150:G150"/>
    <mergeCell ref="H150:I150"/>
    <mergeCell ref="K150:L150"/>
    <mergeCell ref="M150:N150"/>
    <mergeCell ref="A151:B151"/>
    <mergeCell ref="C151:D151"/>
    <mergeCell ref="F151:G151"/>
    <mergeCell ref="H151:I151"/>
    <mergeCell ref="K151:L151"/>
    <mergeCell ref="M151:N151"/>
    <mergeCell ref="M146:N146"/>
    <mergeCell ref="A148:B148"/>
    <mergeCell ref="C148:D148"/>
    <mergeCell ref="F148:G148"/>
    <mergeCell ref="H148:I148"/>
    <mergeCell ref="K148:L148"/>
    <mergeCell ref="M148:N148"/>
    <mergeCell ref="K147:L147"/>
    <mergeCell ref="M147:N147"/>
    <mergeCell ref="A146:B146"/>
    <mergeCell ref="C146:D146"/>
    <mergeCell ref="F146:G146"/>
    <mergeCell ref="H146:I146"/>
    <mergeCell ref="K146:L146"/>
    <mergeCell ref="A147:B147"/>
    <mergeCell ref="F147:G147"/>
    <mergeCell ref="C147:D147"/>
    <mergeCell ref="H147:I147"/>
    <mergeCell ref="A144:B144"/>
    <mergeCell ref="C144:D144"/>
    <mergeCell ref="F144:G144"/>
    <mergeCell ref="H144:I144"/>
    <mergeCell ref="K144:L144"/>
    <mergeCell ref="M144:N144"/>
    <mergeCell ref="A145:B145"/>
    <mergeCell ref="C145:D145"/>
    <mergeCell ref="F145:G145"/>
    <mergeCell ref="H145:I145"/>
    <mergeCell ref="K145:L145"/>
    <mergeCell ref="M145:N145"/>
    <mergeCell ref="A142:B142"/>
    <mergeCell ref="C142:D142"/>
    <mergeCell ref="F142:G142"/>
    <mergeCell ref="H142:I142"/>
    <mergeCell ref="K142:L142"/>
    <mergeCell ref="M142:N142"/>
    <mergeCell ref="A143:B143"/>
    <mergeCell ref="C143:D143"/>
    <mergeCell ref="F143:G143"/>
    <mergeCell ref="H143:I143"/>
    <mergeCell ref="K143:L143"/>
    <mergeCell ref="M143:N143"/>
    <mergeCell ref="A141:B141"/>
    <mergeCell ref="C141:D141"/>
    <mergeCell ref="F141:G141"/>
    <mergeCell ref="H141:I141"/>
    <mergeCell ref="K141:L141"/>
    <mergeCell ref="M141:N141"/>
    <mergeCell ref="V128:X128"/>
    <mergeCell ref="V129:X129"/>
    <mergeCell ref="L132:M132"/>
    <mergeCell ref="Q132:U132"/>
    <mergeCell ref="D133:H133"/>
    <mergeCell ref="I133:K133"/>
    <mergeCell ref="L133:M133"/>
    <mergeCell ref="Q133:U133"/>
    <mergeCell ref="B127:B130"/>
    <mergeCell ref="O127:O130"/>
    <mergeCell ref="D129:H129"/>
    <mergeCell ref="L129:M129"/>
    <mergeCell ref="Q129:U129"/>
    <mergeCell ref="D134:H134"/>
    <mergeCell ref="L134:M134"/>
    <mergeCell ref="Q134:U134"/>
    <mergeCell ref="Q131:U131"/>
    <mergeCell ref="A138:D139"/>
    <mergeCell ref="F138:I139"/>
    <mergeCell ref="K138:N139"/>
    <mergeCell ref="I119:K119"/>
    <mergeCell ref="B95:B98"/>
    <mergeCell ref="O95:O98"/>
    <mergeCell ref="Q93:U93"/>
    <mergeCell ref="D94:H94"/>
    <mergeCell ref="I94:K94"/>
    <mergeCell ref="L94:M94"/>
    <mergeCell ref="Q94:U94"/>
    <mergeCell ref="D95:H95"/>
    <mergeCell ref="I95:K95"/>
    <mergeCell ref="L95:M95"/>
    <mergeCell ref="Q95:U95"/>
    <mergeCell ref="D96:H96"/>
    <mergeCell ref="I96:K96"/>
    <mergeCell ref="D111:H111"/>
    <mergeCell ref="L111:M111"/>
    <mergeCell ref="D112:H112"/>
    <mergeCell ref="D106:H106"/>
    <mergeCell ref="D128:H128"/>
    <mergeCell ref="L128:M128"/>
    <mergeCell ref="Q128:U128"/>
    <mergeCell ref="B107:B110"/>
    <mergeCell ref="Y76:Z76"/>
    <mergeCell ref="D77:H77"/>
    <mergeCell ref="I77:K77"/>
    <mergeCell ref="L77:M77"/>
    <mergeCell ref="Y73:Z73"/>
    <mergeCell ref="D74:H74"/>
    <mergeCell ref="L74:M74"/>
    <mergeCell ref="Q74:U74"/>
    <mergeCell ref="Y74:Z74"/>
    <mergeCell ref="D75:H75"/>
    <mergeCell ref="I75:K75"/>
    <mergeCell ref="L75:M75"/>
    <mergeCell ref="Q75:U75"/>
    <mergeCell ref="V75:X75"/>
    <mergeCell ref="D76:H76"/>
    <mergeCell ref="I76:K76"/>
    <mergeCell ref="L76:M76"/>
    <mergeCell ref="Q76:U76"/>
    <mergeCell ref="V76:X76"/>
    <mergeCell ref="Y77:Z77"/>
    <mergeCell ref="I74:K74"/>
    <mergeCell ref="O74:O77"/>
    <mergeCell ref="V74:X74"/>
    <mergeCell ref="Y67:Z67"/>
    <mergeCell ref="D68:H68"/>
    <mergeCell ref="I68:K68"/>
    <mergeCell ref="L68:M68"/>
    <mergeCell ref="Q68:U68"/>
    <mergeCell ref="V68:X68"/>
    <mergeCell ref="Y68:Z68"/>
    <mergeCell ref="V70:X70"/>
    <mergeCell ref="O70:O73"/>
    <mergeCell ref="V71:X71"/>
    <mergeCell ref="V72:X72"/>
    <mergeCell ref="V73:X73"/>
    <mergeCell ref="Y70:Z70"/>
    <mergeCell ref="D71:H71"/>
    <mergeCell ref="L71:M71"/>
    <mergeCell ref="Q71:U71"/>
    <mergeCell ref="Y71:Z71"/>
    <mergeCell ref="D72:H72"/>
    <mergeCell ref="L72:M72"/>
    <mergeCell ref="Q72:U72"/>
    <mergeCell ref="Y72:Z72"/>
    <mergeCell ref="V67:X67"/>
    <mergeCell ref="Y66:Z66"/>
    <mergeCell ref="D63:H63"/>
    <mergeCell ref="L63:M63"/>
    <mergeCell ref="Q63:U63"/>
    <mergeCell ref="Y63:Z63"/>
    <mergeCell ref="D64:H64"/>
    <mergeCell ref="L64:M64"/>
    <mergeCell ref="Q64:U64"/>
    <mergeCell ref="Y64:Z64"/>
    <mergeCell ref="V63:X63"/>
    <mergeCell ref="V64:X64"/>
    <mergeCell ref="V65:X65"/>
    <mergeCell ref="I66:K66"/>
    <mergeCell ref="O66:O69"/>
    <mergeCell ref="D67:H67"/>
    <mergeCell ref="I67:K67"/>
    <mergeCell ref="L67:M67"/>
    <mergeCell ref="Q67:U67"/>
    <mergeCell ref="D69:H69"/>
    <mergeCell ref="I69:K69"/>
    <mergeCell ref="L69:M69"/>
    <mergeCell ref="Q69:U69"/>
    <mergeCell ref="V69:X69"/>
    <mergeCell ref="Y69:Z69"/>
    <mergeCell ref="Y59:Z59"/>
    <mergeCell ref="D60:H60"/>
    <mergeCell ref="I60:K60"/>
    <mergeCell ref="L60:M60"/>
    <mergeCell ref="Q60:U60"/>
    <mergeCell ref="V60:X60"/>
    <mergeCell ref="Y60:Z60"/>
    <mergeCell ref="D65:H65"/>
    <mergeCell ref="L65:M65"/>
    <mergeCell ref="Q65:U65"/>
    <mergeCell ref="Y65:Z65"/>
    <mergeCell ref="Q61:U61"/>
    <mergeCell ref="V59:X59"/>
    <mergeCell ref="B62:B65"/>
    <mergeCell ref="O62:O65"/>
    <mergeCell ref="I63:K63"/>
    <mergeCell ref="I64:K64"/>
    <mergeCell ref="I65:K65"/>
    <mergeCell ref="V61:X61"/>
    <mergeCell ref="Y61:Z61"/>
    <mergeCell ref="D62:H62"/>
    <mergeCell ref="I62:K62"/>
    <mergeCell ref="L62:M62"/>
    <mergeCell ref="Q62:U62"/>
    <mergeCell ref="V62:X62"/>
    <mergeCell ref="Y62:Z62"/>
    <mergeCell ref="B58:B61"/>
    <mergeCell ref="I58:K58"/>
    <mergeCell ref="O58:O61"/>
    <mergeCell ref="V58:X58"/>
    <mergeCell ref="D59:H59"/>
    <mergeCell ref="I59:K59"/>
    <mergeCell ref="L59:M59"/>
    <mergeCell ref="Q59:U59"/>
    <mergeCell ref="D61:H61"/>
    <mergeCell ref="I61:K61"/>
    <mergeCell ref="L61:M61"/>
    <mergeCell ref="D57:H57"/>
    <mergeCell ref="L57:M57"/>
    <mergeCell ref="Q57:U57"/>
    <mergeCell ref="Y57:Z57"/>
    <mergeCell ref="D58:H58"/>
    <mergeCell ref="L58:M58"/>
    <mergeCell ref="Q58:U58"/>
    <mergeCell ref="Y58:Z58"/>
    <mergeCell ref="I57:K57"/>
    <mergeCell ref="V57:X57"/>
    <mergeCell ref="D41:H41"/>
    <mergeCell ref="L41:M41"/>
    <mergeCell ref="Q41:U41"/>
    <mergeCell ref="Y41:Z41"/>
    <mergeCell ref="D42:H42"/>
    <mergeCell ref="L42:M42"/>
    <mergeCell ref="Q42:U42"/>
    <mergeCell ref="Y42:Z42"/>
    <mergeCell ref="B39:B42"/>
    <mergeCell ref="D39:H39"/>
    <mergeCell ref="L39:M39"/>
    <mergeCell ref="O39:O42"/>
    <mergeCell ref="Q39:U39"/>
    <mergeCell ref="Y39:Z39"/>
    <mergeCell ref="D40:H40"/>
    <mergeCell ref="L40:M40"/>
    <mergeCell ref="Q40:U40"/>
    <mergeCell ref="Y40:Z40"/>
    <mergeCell ref="I39:K39"/>
    <mergeCell ref="I40:K40"/>
    <mergeCell ref="I41:K41"/>
    <mergeCell ref="I42:K42"/>
    <mergeCell ref="V41:X41"/>
    <mergeCell ref="V40:X40"/>
    <mergeCell ref="V35:X35"/>
    <mergeCell ref="Y35:Z35"/>
    <mergeCell ref="D36:H36"/>
    <mergeCell ref="I36:K36"/>
    <mergeCell ref="L36:M36"/>
    <mergeCell ref="Q36:U36"/>
    <mergeCell ref="V36:X36"/>
    <mergeCell ref="Y36:Z36"/>
    <mergeCell ref="V37:X37"/>
    <mergeCell ref="B35:B38"/>
    <mergeCell ref="D35:H35"/>
    <mergeCell ref="I35:K35"/>
    <mergeCell ref="L35:M35"/>
    <mergeCell ref="O35:O38"/>
    <mergeCell ref="Q35:U35"/>
    <mergeCell ref="D37:H37"/>
    <mergeCell ref="I37:K37"/>
    <mergeCell ref="L37:M37"/>
    <mergeCell ref="Q37:U37"/>
    <mergeCell ref="D38:H38"/>
    <mergeCell ref="I38:K38"/>
    <mergeCell ref="L38:M38"/>
    <mergeCell ref="Q38:U38"/>
    <mergeCell ref="D33:H33"/>
    <mergeCell ref="L33:M33"/>
    <mergeCell ref="Q33:U33"/>
    <mergeCell ref="Y33:Z33"/>
    <mergeCell ref="D34:H34"/>
    <mergeCell ref="L34:M34"/>
    <mergeCell ref="Q34:U34"/>
    <mergeCell ref="Y34:Z34"/>
    <mergeCell ref="B31:B34"/>
    <mergeCell ref="D31:H31"/>
    <mergeCell ref="L31:M31"/>
    <mergeCell ref="O31:O34"/>
    <mergeCell ref="Q31:U31"/>
    <mergeCell ref="Y31:Z31"/>
    <mergeCell ref="D32:H32"/>
    <mergeCell ref="L32:M32"/>
    <mergeCell ref="Q32:U32"/>
    <mergeCell ref="Y32:Z32"/>
    <mergeCell ref="I31:K31"/>
    <mergeCell ref="I32:K32"/>
    <mergeCell ref="I34:K34"/>
    <mergeCell ref="I33:K33"/>
    <mergeCell ref="B27:B30"/>
    <mergeCell ref="D27:H27"/>
    <mergeCell ref="I27:K27"/>
    <mergeCell ref="L27:M27"/>
    <mergeCell ref="O27:O30"/>
    <mergeCell ref="Q27:U27"/>
    <mergeCell ref="D29:H29"/>
    <mergeCell ref="I29:K29"/>
    <mergeCell ref="L29:M29"/>
    <mergeCell ref="Q29:U29"/>
    <mergeCell ref="D30:H30"/>
    <mergeCell ref="I30:K30"/>
    <mergeCell ref="L30:M30"/>
    <mergeCell ref="Q30:U30"/>
    <mergeCell ref="D28:H28"/>
    <mergeCell ref="I28:K28"/>
    <mergeCell ref="L28:M28"/>
    <mergeCell ref="Q28:U28"/>
    <mergeCell ref="D25:H25"/>
    <mergeCell ref="L25:M25"/>
    <mergeCell ref="Q25:U25"/>
    <mergeCell ref="Y25:Z25"/>
    <mergeCell ref="D26:H26"/>
    <mergeCell ref="L26:M26"/>
    <mergeCell ref="Q26:U26"/>
    <mergeCell ref="Y26:Z26"/>
    <mergeCell ref="B23:B26"/>
    <mergeCell ref="D23:H23"/>
    <mergeCell ref="L23:M23"/>
    <mergeCell ref="O23:O26"/>
    <mergeCell ref="Q23:U23"/>
    <mergeCell ref="Y23:Z23"/>
    <mergeCell ref="D24:H24"/>
    <mergeCell ref="L24:M24"/>
    <mergeCell ref="Q24:U24"/>
    <mergeCell ref="Y24:Z24"/>
    <mergeCell ref="I26:K26"/>
    <mergeCell ref="I25:K25"/>
    <mergeCell ref="I24:K24"/>
    <mergeCell ref="I23:K23"/>
    <mergeCell ref="V23:X23"/>
    <mergeCell ref="V24:X24"/>
    <mergeCell ref="V21:X21"/>
    <mergeCell ref="Y21:Z21"/>
    <mergeCell ref="D22:H22"/>
    <mergeCell ref="I22:K22"/>
    <mergeCell ref="L22:M22"/>
    <mergeCell ref="Q22:U22"/>
    <mergeCell ref="V22:X22"/>
    <mergeCell ref="Y22:Z22"/>
    <mergeCell ref="V19:X19"/>
    <mergeCell ref="Y19:Z19"/>
    <mergeCell ref="D20:H20"/>
    <mergeCell ref="I20:K20"/>
    <mergeCell ref="L20:M20"/>
    <mergeCell ref="Q20:U20"/>
    <mergeCell ref="V20:X20"/>
    <mergeCell ref="Y20:Z20"/>
    <mergeCell ref="B19:B22"/>
    <mergeCell ref="D19:H19"/>
    <mergeCell ref="I19:K19"/>
    <mergeCell ref="L19:M19"/>
    <mergeCell ref="O19:O22"/>
    <mergeCell ref="Q19:U19"/>
    <mergeCell ref="D21:H21"/>
    <mergeCell ref="I21:K21"/>
    <mergeCell ref="L21:M21"/>
    <mergeCell ref="Q21:U21"/>
    <mergeCell ref="V15:X15"/>
    <mergeCell ref="Y15:Z15"/>
    <mergeCell ref="D16:H16"/>
    <mergeCell ref="I16:K16"/>
    <mergeCell ref="L16:M16"/>
    <mergeCell ref="Q16:U16"/>
    <mergeCell ref="V16:X16"/>
    <mergeCell ref="Y16:Z16"/>
    <mergeCell ref="V17:X17"/>
    <mergeCell ref="I11:K11"/>
    <mergeCell ref="L11:M11"/>
    <mergeCell ref="O11:O14"/>
    <mergeCell ref="Q11:U11"/>
    <mergeCell ref="V11:X11"/>
    <mergeCell ref="Y11:Z11"/>
    <mergeCell ref="D12:H12"/>
    <mergeCell ref="Y17:Z17"/>
    <mergeCell ref="B15:B18"/>
    <mergeCell ref="D15:H15"/>
    <mergeCell ref="I15:K15"/>
    <mergeCell ref="L15:M15"/>
    <mergeCell ref="O15:O18"/>
    <mergeCell ref="Q15:U15"/>
    <mergeCell ref="D17:H17"/>
    <mergeCell ref="I17:K17"/>
    <mergeCell ref="L17:M17"/>
    <mergeCell ref="Q17:U17"/>
    <mergeCell ref="D18:H18"/>
    <mergeCell ref="I18:K18"/>
    <mergeCell ref="L18:M18"/>
    <mergeCell ref="Q18:U18"/>
    <mergeCell ref="V18:X18"/>
    <mergeCell ref="Y18:Z18"/>
    <mergeCell ref="C2:Z4"/>
    <mergeCell ref="B7:D9"/>
    <mergeCell ref="E7:M9"/>
    <mergeCell ref="O7:Q9"/>
    <mergeCell ref="R7:Z9"/>
    <mergeCell ref="D10:H10"/>
    <mergeCell ref="I10:K10"/>
    <mergeCell ref="L10:M10"/>
    <mergeCell ref="Q10:U10"/>
    <mergeCell ref="V10:X10"/>
    <mergeCell ref="Y10:Z10"/>
    <mergeCell ref="V12:X12"/>
    <mergeCell ref="Q12:U12"/>
    <mergeCell ref="L12:M12"/>
    <mergeCell ref="I12:K12"/>
    <mergeCell ref="C48:Z50"/>
    <mergeCell ref="B54:D56"/>
    <mergeCell ref="E54:M56"/>
    <mergeCell ref="O54:Q56"/>
    <mergeCell ref="R54:Z56"/>
    <mergeCell ref="V14:X14"/>
    <mergeCell ref="Q14:U14"/>
    <mergeCell ref="L14:M14"/>
    <mergeCell ref="I14:K14"/>
    <mergeCell ref="D14:H14"/>
    <mergeCell ref="V13:X13"/>
    <mergeCell ref="Q13:U13"/>
    <mergeCell ref="L13:M13"/>
    <mergeCell ref="I13:K13"/>
    <mergeCell ref="D13:H13"/>
    <mergeCell ref="Y13:Z13"/>
    <mergeCell ref="Y14:Z14"/>
    <mergeCell ref="Y12:Z12"/>
    <mergeCell ref="B11:B14"/>
    <mergeCell ref="D11:H11"/>
    <mergeCell ref="B66:B69"/>
    <mergeCell ref="D70:H70"/>
    <mergeCell ref="L70:M70"/>
    <mergeCell ref="Q70:U70"/>
    <mergeCell ref="D73:H73"/>
    <mergeCell ref="L73:M73"/>
    <mergeCell ref="Q73:U73"/>
    <mergeCell ref="I73:K73"/>
    <mergeCell ref="I70:K70"/>
    <mergeCell ref="I71:K71"/>
    <mergeCell ref="I72:K72"/>
    <mergeCell ref="B70:B73"/>
    <mergeCell ref="O91:O94"/>
    <mergeCell ref="I93:K93"/>
    <mergeCell ref="D98:H98"/>
    <mergeCell ref="I98:K98"/>
    <mergeCell ref="Q92:U92"/>
    <mergeCell ref="D99:H99"/>
    <mergeCell ref="D100:H100"/>
    <mergeCell ref="D101:H101"/>
    <mergeCell ref="D66:H66"/>
    <mergeCell ref="L66:M66"/>
    <mergeCell ref="Q66:U66"/>
    <mergeCell ref="Q90:U90"/>
    <mergeCell ref="Q91:U91"/>
    <mergeCell ref="Q96:U96"/>
    <mergeCell ref="L97:M97"/>
    <mergeCell ref="Q98:U98"/>
    <mergeCell ref="Q100:U100"/>
    <mergeCell ref="L98:M98"/>
    <mergeCell ref="B87:D89"/>
    <mergeCell ref="E87:M89"/>
    <mergeCell ref="D92:H92"/>
    <mergeCell ref="I92:K92"/>
    <mergeCell ref="L92:M92"/>
    <mergeCell ref="B91:B94"/>
    <mergeCell ref="B103:B106"/>
    <mergeCell ref="O103:O106"/>
    <mergeCell ref="D102:H102"/>
    <mergeCell ref="L102:M102"/>
    <mergeCell ref="D103:H103"/>
    <mergeCell ref="L103:M103"/>
    <mergeCell ref="D104:H104"/>
    <mergeCell ref="L104:M104"/>
    <mergeCell ref="D105:H105"/>
    <mergeCell ref="L105:M105"/>
    <mergeCell ref="I103:K103"/>
    <mergeCell ref="B99:B102"/>
    <mergeCell ref="O99:O102"/>
    <mergeCell ref="I99:K99"/>
    <mergeCell ref="I101:K101"/>
    <mergeCell ref="O115:O118"/>
    <mergeCell ref="I111:K111"/>
    <mergeCell ref="D114:H114"/>
    <mergeCell ref="L114:M114"/>
    <mergeCell ref="Q114:U114"/>
    <mergeCell ref="D115:H115"/>
    <mergeCell ref="I115:K115"/>
    <mergeCell ref="I108:K108"/>
    <mergeCell ref="I109:K109"/>
    <mergeCell ref="D118:H118"/>
    <mergeCell ref="L118:M118"/>
    <mergeCell ref="O107:O110"/>
    <mergeCell ref="I107:K107"/>
    <mergeCell ref="I110:K110"/>
    <mergeCell ref="I112:K112"/>
    <mergeCell ref="L107:M107"/>
    <mergeCell ref="Q107:U107"/>
    <mergeCell ref="L108:M108"/>
    <mergeCell ref="Q108:U108"/>
    <mergeCell ref="L109:M109"/>
    <mergeCell ref="Q109:U109"/>
    <mergeCell ref="D122:H122"/>
    <mergeCell ref="L122:M122"/>
    <mergeCell ref="D90:H90"/>
    <mergeCell ref="I90:K90"/>
    <mergeCell ref="L90:M90"/>
    <mergeCell ref="D91:H91"/>
    <mergeCell ref="I91:K91"/>
    <mergeCell ref="L91:M91"/>
    <mergeCell ref="D108:H108"/>
    <mergeCell ref="D109:H109"/>
    <mergeCell ref="D107:H107"/>
    <mergeCell ref="D110:H110"/>
    <mergeCell ref="L110:M110"/>
    <mergeCell ref="L96:M96"/>
    <mergeCell ref="D97:H97"/>
    <mergeCell ref="I97:K97"/>
    <mergeCell ref="D93:H93"/>
    <mergeCell ref="L99:M99"/>
    <mergeCell ref="I106:K106"/>
    <mergeCell ref="I105:K105"/>
    <mergeCell ref="I104:K104"/>
    <mergeCell ref="B123:B126"/>
    <mergeCell ref="I123:K123"/>
    <mergeCell ref="L124:M124"/>
    <mergeCell ref="Q124:U124"/>
    <mergeCell ref="I120:K120"/>
    <mergeCell ref="I121:K121"/>
    <mergeCell ref="I122:K122"/>
    <mergeCell ref="B115:B118"/>
    <mergeCell ref="B111:B114"/>
    <mergeCell ref="O111:O114"/>
    <mergeCell ref="D113:H113"/>
    <mergeCell ref="L113:M113"/>
    <mergeCell ref="Q113:U113"/>
    <mergeCell ref="L112:M112"/>
    <mergeCell ref="Q112:U112"/>
    <mergeCell ref="I114:K114"/>
    <mergeCell ref="I113:K113"/>
    <mergeCell ref="B119:B122"/>
    <mergeCell ref="D119:H119"/>
    <mergeCell ref="L119:M119"/>
    <mergeCell ref="D120:H120"/>
    <mergeCell ref="L120:M120"/>
    <mergeCell ref="D121:H121"/>
    <mergeCell ref="L121:M121"/>
    <mergeCell ref="V95:X95"/>
    <mergeCell ref="V103:X103"/>
    <mergeCell ref="Y99:Z99"/>
    <mergeCell ref="V92:X92"/>
    <mergeCell ref="Y92:Z92"/>
    <mergeCell ref="V93:X93"/>
    <mergeCell ref="Y93:Z93"/>
    <mergeCell ref="V94:X94"/>
    <mergeCell ref="Y94:Z94"/>
    <mergeCell ref="Y100:Z100"/>
    <mergeCell ref="V101:X101"/>
    <mergeCell ref="Y101:Z101"/>
    <mergeCell ref="Y95:Z95"/>
    <mergeCell ref="V96:X96"/>
    <mergeCell ref="Y96:Z96"/>
    <mergeCell ref="V97:X97"/>
    <mergeCell ref="Y97:Z97"/>
    <mergeCell ref="V98:X98"/>
    <mergeCell ref="Y98:Z98"/>
    <mergeCell ref="V99:X99"/>
    <mergeCell ref="Y107:Z107"/>
    <mergeCell ref="V108:X108"/>
    <mergeCell ref="Y108:Z108"/>
    <mergeCell ref="V109:X109"/>
    <mergeCell ref="Y109:Z109"/>
    <mergeCell ref="Q102:U102"/>
    <mergeCell ref="Q103:U103"/>
    <mergeCell ref="Q104:U104"/>
    <mergeCell ref="Q105:U105"/>
    <mergeCell ref="Y102:Z102"/>
    <mergeCell ref="Y103:Z103"/>
    <mergeCell ref="Y104:Z104"/>
    <mergeCell ref="Y105:Z105"/>
    <mergeCell ref="Y106:Z106"/>
    <mergeCell ref="Q106:U106"/>
    <mergeCell ref="Y116:Z116"/>
    <mergeCell ref="V117:X117"/>
    <mergeCell ref="Y117:Z117"/>
    <mergeCell ref="V118:X118"/>
    <mergeCell ref="Y118:Z118"/>
    <mergeCell ref="V114:X114"/>
    <mergeCell ref="V113:X113"/>
    <mergeCell ref="Y110:Z110"/>
    <mergeCell ref="Q110:U110"/>
    <mergeCell ref="Y112:Z112"/>
    <mergeCell ref="Y113:Z113"/>
    <mergeCell ref="Y114:Z114"/>
    <mergeCell ref="Y115:Z115"/>
    <mergeCell ref="Y128:Z128"/>
    <mergeCell ref="Y129:Z129"/>
    <mergeCell ref="Y130:Z130"/>
    <mergeCell ref="D123:H123"/>
    <mergeCell ref="L123:M123"/>
    <mergeCell ref="Q123:U123"/>
    <mergeCell ref="D124:H124"/>
    <mergeCell ref="I124:K124"/>
    <mergeCell ref="Y127:Z127"/>
    <mergeCell ref="D125:H125"/>
    <mergeCell ref="I125:K125"/>
    <mergeCell ref="L125:M125"/>
    <mergeCell ref="I127:K127"/>
    <mergeCell ref="L127:M127"/>
    <mergeCell ref="Q127:U127"/>
    <mergeCell ref="V127:X127"/>
    <mergeCell ref="I126:K126"/>
    <mergeCell ref="D126:H126"/>
    <mergeCell ref="L126:M126"/>
    <mergeCell ref="Q126:U126"/>
    <mergeCell ref="D127:H127"/>
    <mergeCell ref="D130:H130"/>
    <mergeCell ref="L130:M130"/>
    <mergeCell ref="Q130:U130"/>
    <mergeCell ref="Y119:Z119"/>
    <mergeCell ref="Y120:Z120"/>
    <mergeCell ref="Y121:Z121"/>
    <mergeCell ref="Y122:Z122"/>
    <mergeCell ref="O123:O126"/>
    <mergeCell ref="V123:X123"/>
    <mergeCell ref="Y123:Z123"/>
    <mergeCell ref="V124:X124"/>
    <mergeCell ref="Y124:Z124"/>
    <mergeCell ref="V125:X125"/>
    <mergeCell ref="Y125:Z125"/>
    <mergeCell ref="V126:X126"/>
    <mergeCell ref="Y126:Z126"/>
    <mergeCell ref="V119:X119"/>
    <mergeCell ref="V120:X120"/>
    <mergeCell ref="V121:X121"/>
    <mergeCell ref="Q122:U122"/>
    <mergeCell ref="O119:O122"/>
    <mergeCell ref="B131:B134"/>
    <mergeCell ref="O131:O134"/>
    <mergeCell ref="V131:X131"/>
    <mergeCell ref="Y131:Z131"/>
    <mergeCell ref="V132:X132"/>
    <mergeCell ref="Y132:Z132"/>
    <mergeCell ref="V133:X133"/>
    <mergeCell ref="Y133:Z133"/>
    <mergeCell ref="I134:K134"/>
    <mergeCell ref="V134:X134"/>
    <mergeCell ref="Y134:Z134"/>
    <mergeCell ref="I132:K132"/>
    <mergeCell ref="D131:H131"/>
    <mergeCell ref="I131:K131"/>
    <mergeCell ref="L131:M131"/>
    <mergeCell ref="I128:K128"/>
    <mergeCell ref="I129:K129"/>
    <mergeCell ref="D132:H132"/>
    <mergeCell ref="I130:K130"/>
    <mergeCell ref="V25:X25"/>
    <mergeCell ref="I118:K118"/>
    <mergeCell ref="V110:X110"/>
    <mergeCell ref="I102:K102"/>
    <mergeCell ref="V102:X102"/>
    <mergeCell ref="L101:M101"/>
    <mergeCell ref="Q101:U101"/>
    <mergeCell ref="V91:X91"/>
    <mergeCell ref="I100:K100"/>
    <mergeCell ref="Q77:U77"/>
    <mergeCell ref="V77:X77"/>
    <mergeCell ref="B81:Y83"/>
    <mergeCell ref="Y75:Z75"/>
    <mergeCell ref="B74:B77"/>
    <mergeCell ref="D117:H117"/>
    <mergeCell ref="I117:K117"/>
    <mergeCell ref="L117:M117"/>
    <mergeCell ref="D116:H116"/>
    <mergeCell ref="I116:K116"/>
    <mergeCell ref="Y111:Z111"/>
    <mergeCell ref="V39:X39"/>
    <mergeCell ref="V34:X34"/>
    <mergeCell ref="V33:X33"/>
    <mergeCell ref="V32:X32"/>
    <mergeCell ref="V31:X31"/>
    <mergeCell ref="V26:X26"/>
    <mergeCell ref="V115:X115"/>
    <mergeCell ref="V112:X112"/>
    <mergeCell ref="V111:X111"/>
    <mergeCell ref="R87:Z89"/>
    <mergeCell ref="V90:X90"/>
    <mergeCell ref="Y90:Z90"/>
    <mergeCell ref="Y29:Z29"/>
    <mergeCell ref="V30:X30"/>
    <mergeCell ref="Y30:Z30"/>
    <mergeCell ref="V27:X27"/>
    <mergeCell ref="Y27:Z27"/>
    <mergeCell ref="V28:X28"/>
    <mergeCell ref="Y28:Z28"/>
    <mergeCell ref="V29:X29"/>
    <mergeCell ref="Y37:Z37"/>
    <mergeCell ref="V38:X38"/>
    <mergeCell ref="Y38:Z38"/>
    <mergeCell ref="Y91:Z91"/>
    <mergeCell ref="V66:X66"/>
    <mergeCell ref="Q115:U115"/>
    <mergeCell ref="Q125:U125"/>
    <mergeCell ref="Q118:U118"/>
    <mergeCell ref="Q119:U119"/>
    <mergeCell ref="Q120:U120"/>
    <mergeCell ref="Q121:U121"/>
    <mergeCell ref="L116:M116"/>
    <mergeCell ref="Q116:U116"/>
    <mergeCell ref="V104:X104"/>
    <mergeCell ref="V105:X105"/>
    <mergeCell ref="Q97:U97"/>
    <mergeCell ref="O87:Q89"/>
    <mergeCell ref="L115:M115"/>
    <mergeCell ref="V106:X106"/>
    <mergeCell ref="L93:M93"/>
    <mergeCell ref="Q117:U117"/>
    <mergeCell ref="Q111:U111"/>
    <mergeCell ref="V116:X116"/>
    <mergeCell ref="V107:X107"/>
    <mergeCell ref="L106:M106"/>
    <mergeCell ref="V100:X100"/>
    <mergeCell ref="Q99:U99"/>
    <mergeCell ref="L100:M100"/>
  </mergeCells>
  <pageMargins left="0" right="0" top="0.74803149606299213" bottom="0.74803149606299213" header="0.31496062992125984" footer="0.31496062992125984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6" operator="containsText" id="{68318BA6-4258-41EC-9696-DD254A775A00}">
            <xm:f>NOT(ISERROR(SEARCH($V$358,L11)))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95" operator="containsText" id="{86FA00AD-F9FF-4660-98D8-FA6D1E861A69}">
            <xm:f>NOT(ISERROR(SEARCH($V$352,L11)))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98" operator="containsText" id="{4DA31C64-BE44-49E3-9DE9-4EEEB2BD7454}">
            <xm:f>NOT(ISERROR(SEARCH($V$355,L11)))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97" operator="containsText" id="{9066FF01-17E2-4B21-ABE6-BC2D10FAED05}">
            <xm:f>NOT(ISERROR(SEARCH($V$356,L11)))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99" operator="containsText" id="{0722AAEB-2673-4249-8AF6-B82B041BA524}">
            <xm:f>NOT(ISERROR(SEARCH($V$353,L11)))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L11:M11 L13:M18 L20:M36 L38:M38 L41:M42</xm:sqref>
        </x14:conditionalFormatting>
        <x14:conditionalFormatting xmlns:xm="http://schemas.microsoft.com/office/excel/2006/main">
          <x14:cfRule type="containsText" priority="155" operator="containsText" id="{26919E50-8C28-4D4F-A43C-603A6F844607}">
            <xm:f>NOT(ISERROR(SEARCH($V$416,L12)))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56" operator="containsText" id="{11897DA0-B23C-460D-AEB2-431F808D6148}">
            <xm:f>NOT(ISERROR(SEARCH($V$422,L12)))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57" operator="containsText" id="{77C31C68-8557-4499-99E9-B81A4269B752}">
            <xm:f>NOT(ISERROR(SEARCH($V$420,L12)))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58" operator="containsText" id="{A24C98ED-DFAB-4BD8-95A4-370956833742}">
            <xm:f>NOT(ISERROR(SEARCH($V$419,L12)))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59" operator="containsText" id="{AC91A32C-5D71-4AF3-AFB6-E39A27BC1BDB}">
            <xm:f>NOT(ISERROR(SEARCH($V$417,L12)))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L12:M12</xm:sqref>
        </x14:conditionalFormatting>
        <x14:conditionalFormatting xmlns:xm="http://schemas.microsoft.com/office/excel/2006/main">
          <x14:cfRule type="containsText" priority="26" operator="containsText" id="{602EF538-1763-43EE-8FF5-5E23283EC0C2}">
            <xm:f>NOT(ISERROR(SEARCH($V$396,L19)))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7" operator="containsText" id="{6062EDB9-21A0-4F53-8783-9B80B3A2EAAB}">
            <xm:f>NOT(ISERROR(SEARCH($V$402,L19)))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8" operator="containsText" id="{FBD20A8D-196B-41C9-84A3-1CAACB08DA57}">
            <xm:f>NOT(ISERROR(SEARCH($V$400,L19)))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9" operator="containsText" id="{C21F8C82-82E0-4515-B3A0-D4DC5EFED6AD}">
            <xm:f>NOT(ISERROR(SEARCH($V$399,L19)))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0" operator="containsText" id="{EAA3EC0F-716E-4E82-B471-89898DFEBBEE}">
            <xm:f>NOT(ISERROR(SEARCH($V$397,L19)))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L19:M19</xm:sqref>
        </x14:conditionalFormatting>
        <x14:conditionalFormatting xmlns:xm="http://schemas.microsoft.com/office/excel/2006/main">
          <x14:cfRule type="containsText" priority="55" operator="containsText" id="{0771BC3F-E01B-4096-B60F-9D35DCD7879A}">
            <xm:f>NOT(ISERROR(SEARCH($V$418,L37)))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4" operator="containsText" id="{7A8A6A13-F1B1-4DE4-BFC4-48DD8715117B}">
            <xm:f>NOT(ISERROR(SEARCH($V$419,L37)))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53" operator="containsText" id="{B3E19D9B-CFF9-49B0-BDC5-76C28C99B226}">
            <xm:f>NOT(ISERROR(SEARCH($V$421,L37)))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2" operator="containsText" id="{3996083C-EC25-4ABB-9C17-1F75D43327F9}">
            <xm:f>NOT(ISERROR(SEARCH($V$415,L37)))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6" operator="containsText" id="{E52510E4-82FA-4C49-8B24-2C738EDAD878}">
            <xm:f>NOT(ISERROR(SEARCH($V$416,L37)))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L37:M37</xm:sqref>
        </x14:conditionalFormatting>
        <x14:conditionalFormatting xmlns:xm="http://schemas.microsoft.com/office/excel/2006/main">
          <x14:cfRule type="containsText" priority="24" operator="containsText" id="{FB9A0C8E-478B-41CB-B32E-DCA4ED9ACF7A}">
            <xm:f>NOT(ISERROR(SEARCH($V$418,L39)))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1" operator="containsText" id="{94303266-510E-4E6B-8CDC-CDD47B3A6897}">
            <xm:f>NOT(ISERROR(SEARCH($V$415,L39)))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2" operator="containsText" id="{03510612-BC5B-46AD-856F-F65C0A8CEB89}">
            <xm:f>NOT(ISERROR(SEARCH($V$421,L39)))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5" operator="containsText" id="{F5666A6F-8293-4773-B734-3FFFF38A30F8}">
            <xm:f>NOT(ISERROR(SEARCH($V$416,L39)))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3" operator="containsText" id="{1900CB0C-51C7-45B7-B024-C7EA9BF1849A}">
            <xm:f>NOT(ISERROR(SEARCH($V$419,L39)))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L39:M40</xm:sqref>
        </x14:conditionalFormatting>
        <x14:conditionalFormatting xmlns:xm="http://schemas.microsoft.com/office/excel/2006/main">
          <x14:cfRule type="containsText" priority="209" operator="containsText" id="{7F2BBF8C-2311-4E93-9090-14C9D0CA9800}">
            <xm:f>NOT(ISERROR(SEARCH($V$353,L58)))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08" operator="containsText" id="{7D3E82B8-5B4C-4D70-8A83-0D2581ABE77B}">
            <xm:f>NOT(ISERROR(SEARCH($V$355,L58)))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07" operator="containsText" id="{910CC093-9555-4EEA-A80B-063433E3487F}">
            <xm:f>NOT(ISERROR(SEARCH($V$356,L58)))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06" operator="containsText" id="{16024D4E-A4C9-4B1E-823C-61311D425B76}">
            <xm:f>NOT(ISERROR(SEARCH($V$358,L58)))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05" operator="containsText" id="{ADE0EFB0-B0C6-41A5-A3BE-F542764CD96E}">
            <xm:f>NOT(ISERROR(SEARCH($V$352,L58)))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L58:M66 L68:M77</xm:sqref>
        </x14:conditionalFormatting>
        <x14:conditionalFormatting xmlns:xm="http://schemas.microsoft.com/office/excel/2006/main">
          <x14:cfRule type="containsText" priority="39" operator="containsText" id="{97CE9937-A9EB-4288-B960-2A1E7131D57A}">
            <xm:f>NOT(ISERROR(SEARCH($V$418,L67)))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0" operator="containsText" id="{2125D530-562B-4152-8421-17E337CB72E0}">
            <xm:f>NOT(ISERROR(SEARCH($V$416,L67)))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36" operator="containsText" id="{5D2C2F61-35A4-4AE5-B7EB-61FF83660F7B}">
            <xm:f>NOT(ISERROR(SEARCH($V$415,L67)))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7" operator="containsText" id="{50C8CC79-435D-4838-9C4C-9D56A80A5B32}">
            <xm:f>NOT(ISERROR(SEARCH($V$421,L67)))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8" operator="containsText" id="{02838C56-8A21-4E27-897C-8296E3460C87}">
            <xm:f>NOT(ISERROR(SEARCH($V$419,L67)))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L67:M67</xm:sqref>
        </x14:conditionalFormatting>
        <x14:conditionalFormatting xmlns:xm="http://schemas.microsoft.com/office/excel/2006/main">
          <x14:cfRule type="containsText" priority="152" operator="containsText" id="{CBE8D7D4-9C5D-4F16-8C34-B8BD1BD2E7D5}">
            <xm:f>NOT(ISERROR(SEARCH($V$400,K91)))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51" operator="containsText" id="{D6C71D7D-2A72-4503-BB43-B282C2689933}">
            <xm:f>NOT(ISERROR(SEARCH($V$402,K91)))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50" operator="containsText" id="{DE0CDEFC-A446-42EB-BE97-F673EC81B17E}">
            <xm:f>NOT(ISERROR(SEARCH($V$396,K91)))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53" operator="containsText" id="{948B4C0B-B0D1-4AF2-A42F-FCF37A116D1E}">
            <xm:f>NOT(ISERROR(SEARCH($V$399,K91)))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54" operator="containsText" id="{E092600A-FCB1-4124-8E99-C5C52DA9392B}">
            <xm:f>NOT(ISERROR(SEARCH($V$397,K91)))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L91:M98 K147:L147</xm:sqref>
        </x14:conditionalFormatting>
        <x14:conditionalFormatting xmlns:xm="http://schemas.microsoft.com/office/excel/2006/main">
          <x14:cfRule type="containsText" priority="109" operator="containsText" id="{057B5ACE-7E82-428B-A46C-A5BA74005627}">
            <xm:f>NOT(ISERROR(SEARCH($V$421,L99)))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0" operator="containsText" id="{30CF2CAC-308D-4F70-B5B3-59943C180498}">
            <xm:f>NOT(ISERROR(SEARCH($V$419,L99)))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11" operator="containsText" id="{8DAC5097-23D5-4672-9549-379EEEA58297}">
            <xm:f>NOT(ISERROR(SEARCH($V$418,L99)))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12" operator="containsText" id="{54C3CE56-FF85-4E8B-88B2-2BC12616FABD}">
            <xm:f>NOT(ISERROR(SEARCH($V$416,L99)))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08" operator="containsText" id="{F6C7F7B0-4972-48FB-98CA-1505A08AC6D8}">
            <xm:f>NOT(ISERROR(SEARCH($V$415,L99)))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13" operator="containsText" id="{2C3C96DE-607C-4AC5-87B3-F0915C24C5B1}">
            <xm:f>NOT(ISERROR(SEARCH($V$417,L99)))</xm:f>
            <xm:f>$V$417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m:sqref>L99:M100</xm:sqref>
        </x14:conditionalFormatting>
        <x14:conditionalFormatting xmlns:xm="http://schemas.microsoft.com/office/excel/2006/main">
          <x14:cfRule type="containsText" priority="129" operator="containsText" id="{5686EBA6-0D27-45BB-89FE-1E467B57F66E}">
            <xm:f>NOT(ISERROR(SEARCH($V$418,L101)))</xm:f>
            <xm:f>$V$418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14:cfRule type="containsText" priority="128" operator="containsText" id="{C6BE02A8-60F0-49CA-B013-2D28E4DE9A0A}">
            <xm:f>NOT(ISERROR(SEARCH($V$417,L101)))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27" operator="containsText" id="{AC661220-9F82-4601-AF58-1AEF1C4EB0D2}">
            <xm:f>NOT(ISERROR(SEARCH($V$419,L101)))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26" operator="containsText" id="{CD2A9CB9-01C1-4BD6-80EC-7592F2F80D3E}">
            <xm:f>NOT(ISERROR(SEARCH($V$420,L101)))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25" operator="containsText" id="{B65812E8-5D76-4E67-892B-3D98707095C6}">
            <xm:f>NOT(ISERROR(SEARCH($V$422,L101)))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24" operator="containsText" id="{522E7461-C640-47FE-A457-DC8EB2170000}">
            <xm:f>NOT(ISERROR(SEARCH($V$416,L101)))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L101:M101</xm:sqref>
        </x14:conditionalFormatting>
        <x14:conditionalFormatting xmlns:xm="http://schemas.microsoft.com/office/excel/2006/main">
          <x14:cfRule type="containsText" priority="195" operator="containsText" id="{0BCE97E9-2CEF-4C9D-9CCF-6AF7B898FC73}">
            <xm:f>NOT(ISERROR(SEARCH($V$396,L102)))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99" operator="containsText" id="{E5DAA2FE-4AB3-47F7-B530-9773A448BCBB}">
            <xm:f>NOT(ISERROR(SEARCH($V$397,L102)))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96" operator="containsText" id="{277A4DB3-55E9-4107-910C-CE7796D48D18}">
            <xm:f>NOT(ISERROR(SEARCH($V$402,L102)))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97" operator="containsText" id="{810FC496-F03E-43A7-9A8A-6E132D31755C}">
            <xm:f>NOT(ISERROR(SEARCH($V$400,L102)))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98" operator="containsText" id="{FD5E8297-159F-4570-90D2-32339EF9BEAA}">
            <xm:f>NOT(ISERROR(SEARCH($V$399,L102)))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L102:M106 L108:M125 Y115:Z119 Y121:Z130 L130:M134 Y132:Z134</xm:sqref>
        </x14:conditionalFormatting>
        <x14:conditionalFormatting xmlns:xm="http://schemas.microsoft.com/office/excel/2006/main">
          <x14:cfRule type="containsText" priority="149" operator="containsText" id="{06626705-6B68-4233-8017-320A8D39A99F}">
            <xm:f>NOT(ISERROR(SEARCH($V$353,L107)))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48" operator="containsText" id="{47EEFFB9-976F-4597-B59A-AF237D4976B8}">
            <xm:f>NOT(ISERROR(SEARCH($V$355,L107)))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47" operator="containsText" id="{337BE9BB-6CB3-4E1A-AF6F-45C7CE24A1F6}">
            <xm:f>NOT(ISERROR(SEARCH($V$356,L107)))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46" operator="containsText" id="{3B9B2236-491B-4454-AA92-CAD7D133B5C0}">
            <xm:f>NOT(ISERROR(SEARCH($V$358,L107)))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45" operator="containsText" id="{60899279-F0F3-4985-8494-7CA818652107}">
            <xm:f>NOT(ISERROR(SEARCH($V$352,L107)))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L107:M107</xm:sqref>
        </x14:conditionalFormatting>
        <x14:conditionalFormatting xmlns:xm="http://schemas.microsoft.com/office/excel/2006/main">
          <x14:cfRule type="containsText" priority="139" operator="containsText" id="{2E020C99-12B9-42EA-A6F8-AFF311168A65}">
            <xm:f>NOT(ISERROR(SEARCH($V$353,L126)))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38" operator="containsText" id="{46FE78A4-EBEC-4B32-918B-E916EBAE9A03}">
            <xm:f>NOT(ISERROR(SEARCH($V$355,L126)))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37" operator="containsText" id="{FC51936B-107D-41C6-80D9-65A405E87E52}">
            <xm:f>NOT(ISERROR(SEARCH($V$356,L126)))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35" operator="containsText" id="{D546E8AA-253E-4B7D-9310-CF2E23ECDCEC}">
            <xm:f>NOT(ISERROR(SEARCH($V$352,L126)))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36" operator="containsText" id="{64888803-F46D-42D9-99E6-8D962BF8B776}">
            <xm:f>NOT(ISERROR(SEARCH($V$358,L126)))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L126:M126</xm:sqref>
        </x14:conditionalFormatting>
        <x14:conditionalFormatting xmlns:xm="http://schemas.microsoft.com/office/excel/2006/main">
          <x14:cfRule type="containsText" priority="2" operator="containsText" id="{05C0672C-6308-4ADD-856D-5D0D7D948D30}">
            <xm:f>NOT(ISERROR(SEARCH($V$420,L127)))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" operator="containsText" id="{8EF9CAAC-C3EE-4C0E-AB3C-4679A29E735E}">
            <xm:f>NOT(ISERROR(SEARCH($V$418,L127)))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" operator="containsText" id="{F01F648D-62C9-4996-A0C1-EDD57B17B193}">
            <xm:f>NOT(ISERROR(SEARCH($V$417,L127)))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" operator="containsText" id="{B56A4B7F-04D6-4E9A-A762-AE7C00940083}">
            <xm:f>NOT(ISERROR(SEARCH($V$415,L127)))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" operator="containsText" id="{5F8F675D-C33D-4C46-85A6-327385022E3B}">
            <xm:f>NOT(ISERROR(SEARCH($V$414,L127)))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L127:M129</xm:sqref>
        </x14:conditionalFormatting>
        <x14:conditionalFormatting xmlns:xm="http://schemas.microsoft.com/office/excel/2006/main">
          <x14:cfRule type="containsText" priority="6" operator="containsText" id="{902DA11C-8A41-439F-80D6-7F12EEF2A125}">
            <xm:f>NOT(ISERROR(SEARCH($V$415,Y11)))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" operator="containsText" id="{E274D2EA-8355-4F66-AE9D-6B8A0F8F3B0F}">
            <xm:f>NOT(ISERROR(SEARCH($V$421,Y11)))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" operator="containsText" id="{7687D636-577E-4856-A636-A3C2B9D33A2E}">
            <xm:f>NOT(ISERROR(SEARCH($V$419,Y11)))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" operator="containsText" id="{D9CC5B11-579D-4D21-8388-37F5D3837F9F}">
            <xm:f>NOT(ISERROR(SEARCH($V$418,Y11)))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0" operator="containsText" id="{4CCFF294-D1A9-49BF-8CB0-9033ECE535F5}">
            <xm:f>NOT(ISERROR(SEARCH($V$416,Y11)))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Y11:Z14</xm:sqref>
        </x14:conditionalFormatting>
        <x14:conditionalFormatting xmlns:xm="http://schemas.microsoft.com/office/excel/2006/main">
          <x14:cfRule type="containsText" priority="114" operator="containsText" id="{8F7FF905-3741-4D2D-987B-06C6EB38CA44}">
            <xm:f>NOT(ISERROR(SEARCH($V$416,Y15)))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15" operator="containsText" id="{F8075BC0-EC86-4E8F-A320-08445F25EAF3}">
            <xm:f>NOT(ISERROR(SEARCH($V$422,Y15)))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6" operator="containsText" id="{75E49FB2-8E76-4025-B3C8-8C282B9C16A5}">
            <xm:f>NOT(ISERROR(SEARCH($V$420,Y15)))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17" operator="containsText" id="{5A4511EF-4F24-4B7C-B46E-6D49B53BB256}">
            <xm:f>NOT(ISERROR(SEARCH($V$419,Y15)))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18" operator="containsText" id="{6D931AA7-DA90-403F-BDD1-1E8E4028CDFE}">
            <xm:f>NOT(ISERROR(SEARCH($V$417,Y15)))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Y15:Z15</xm:sqref>
        </x14:conditionalFormatting>
        <x14:conditionalFormatting xmlns:xm="http://schemas.microsoft.com/office/excel/2006/main">
          <x14:cfRule type="containsText" priority="122" operator="containsText" id="{C6B085F7-8F66-4CFB-AB8B-50AA36B124F2}">
            <xm:f>NOT(ISERROR(SEARCH($V$355,Y16)))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20" operator="containsText" id="{360F381D-7502-4B5F-A48B-D7FC0DC84A52}">
            <xm:f>NOT(ISERROR(SEARCH($V$358,Y16)))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9" operator="containsText" id="{0E8380FA-24D0-4C6F-8054-B9428B86153E}">
            <xm:f>NOT(ISERROR(SEARCH($V$352,Y16)))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23" operator="containsText" id="{197586F2-DE66-4A79-96B8-BB684D188C7D}">
            <xm:f>NOT(ISERROR(SEARCH($V$353,Y16)))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21" operator="containsText" id="{A33B268F-9234-44CD-8E19-715713C955D5}">
            <xm:f>NOT(ISERROR(SEARCH($V$356,Y16)))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Y16:Z22 Y24:Z36 Y38:Z42</xm:sqref>
        </x14:conditionalFormatting>
        <x14:conditionalFormatting xmlns:xm="http://schemas.microsoft.com/office/excel/2006/main">
          <x14:cfRule type="containsText" priority="94" operator="containsText" id="{6D6DF344-2FD6-41DE-B1E6-62156265DFC0}">
            <xm:f>NOT(ISERROR(SEARCH($V$402,Y23)))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95" operator="containsText" id="{D061F445-31F4-43AB-A7CA-6C886AAA6F51}">
            <xm:f>NOT(ISERROR(SEARCH($V$400,Y23)))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6" operator="containsText" id="{C670EE9E-F71D-4CF4-BD5D-066E1B49D641}">
            <xm:f>NOT(ISERROR(SEARCH($V$399,Y23)))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97" operator="containsText" id="{808EE757-E39A-42EB-BC71-8DE7F0398F25}">
            <xm:f>NOT(ISERROR(SEARCH($V$397,Y23)))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93" operator="containsText" id="{713231DC-E03F-4628-8F84-690DC7C2D7CA}">
            <xm:f>NOT(ISERROR(SEARCH($V$396,Y23)))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Y23:Z23</xm:sqref>
        </x14:conditionalFormatting>
        <x14:conditionalFormatting xmlns:xm="http://schemas.microsoft.com/office/excel/2006/main">
          <x14:cfRule type="containsText" priority="72" operator="containsText" id="{26A9DDDC-45A3-4B4C-BE56-E0DB0F3DCDCD}">
            <xm:f>NOT(ISERROR(SEARCH($V$418,Y37)))</xm:f>
            <xm:f>$V$418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14:cfRule type="containsText" priority="71" operator="containsText" id="{B544F373-E3C0-4BF1-89C9-F9024F2E7C20}">
            <xm:f>NOT(ISERROR(SEARCH($V$417,Y37)))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70" operator="containsText" id="{B45C74D1-49B7-4863-B30F-ED07F64E5358}">
            <xm:f>NOT(ISERROR(SEARCH($V$419,Y37)))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69" operator="containsText" id="{633758D0-9015-431E-AD00-9971AA988AAC}">
            <xm:f>NOT(ISERROR(SEARCH($V$420,Y37)))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68" operator="containsText" id="{23AB3717-6253-4BCD-90CB-E6D220985578}">
            <xm:f>NOT(ISERROR(SEARCH($V$422,Y37)))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67" operator="containsText" id="{9493E374-48BF-478B-9080-032D3463A4D2}">
            <xm:f>NOT(ISERROR(SEARCH($V$416,Y37)))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Y37:Z37</xm:sqref>
        </x14:conditionalFormatting>
        <x14:conditionalFormatting xmlns:xm="http://schemas.microsoft.com/office/excel/2006/main">
          <x14:cfRule type="containsText" priority="34" operator="containsText" id="{469DE73C-DDD5-4124-BBB3-AA687D789456}">
            <xm:f>NOT(ISERROR(SEARCH($V$355,Y58)))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5" operator="containsText" id="{C7804CFF-C6C3-4666-8999-5DCC85413A09}">
            <xm:f>NOT(ISERROR(SEARCH($V$353,Y58)))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096DAEEB-B7F2-4234-B1E6-B63D884A36D4}">
            <xm:f>NOT(ISERROR(SEARCH($V$358,Y58)))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1" operator="containsText" id="{8D52D6AD-D2A5-43B9-9F20-B4441689864A}">
            <xm:f>NOT(ISERROR(SEARCH($V$352,Y58)))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3" operator="containsText" id="{7851D628-D764-41C5-BFCA-8A94A968D69F}">
            <xm:f>NOT(ISERROR(SEARCH($V$356,Y58)))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Y58:Z77</xm:sqref>
        </x14:conditionalFormatting>
        <x14:conditionalFormatting xmlns:xm="http://schemas.microsoft.com/office/excel/2006/main">
          <x14:cfRule type="containsText" priority="193" operator="containsText" id="{3C95316D-16A2-477F-BEBB-E1BE6F8BF4F2}">
            <xm:f>NOT(ISERROR(SEARCH($V$399,Y91)))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91" operator="containsText" id="{A8F23714-4D49-4632-B577-307AE930051B}">
            <xm:f>NOT(ISERROR(SEARCH($V$402,Y91)))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92" operator="containsText" id="{37254622-2B02-4F19-8CB9-A59A2057F764}">
            <xm:f>NOT(ISERROR(SEARCH($V$400,Y91)))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94" operator="containsText" id="{28BCD63C-C97B-49CA-A703-75C4BA1C4543}">
            <xm:f>NOT(ISERROR(SEARCH($V$397,Y91)))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90" operator="containsText" id="{08BC976B-5047-4B53-825A-469AF185C80F}">
            <xm:f>NOT(ISERROR(SEARCH($V$396,Y91)))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Y91:Z95</xm:sqref>
        </x14:conditionalFormatting>
        <x14:conditionalFormatting xmlns:xm="http://schemas.microsoft.com/office/excel/2006/main">
          <x14:cfRule type="containsText" priority="51" operator="containsText" id="{D944BEAD-BA1D-466B-8409-382777641BF3}">
            <xm:f>NOT(ISERROR(SEARCH($V$417,Y96)))</xm:f>
            <xm:f>$V$417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14:cfRule type="containsText" priority="50" operator="containsText" id="{B64A4B11-1671-47D4-BF69-2BED2971EF29}">
            <xm:f>NOT(ISERROR(SEARCH($V$416,Y96)))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49" operator="containsText" id="{EF1DE15E-BEF6-4F37-B205-3744C8D3529A}">
            <xm:f>NOT(ISERROR(SEARCH($V$418,Y96)))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8" operator="containsText" id="{A76C1030-86D0-43D2-8F6B-A7C92E3C6945}">
            <xm:f>NOT(ISERROR(SEARCH($V$419,Y96)))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4BCFE789-9847-4807-AE84-01E1FBFBE88B}">
            <xm:f>NOT(ISERROR(SEARCH($V$421,Y96)))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46" operator="containsText" id="{EC0A0E0F-6A37-4CDF-ADEC-CC92AB003FB0}">
            <xm:f>NOT(ISERROR(SEARCH($V$415,Y96)))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Y96:Z96</xm:sqref>
        </x14:conditionalFormatting>
        <x14:conditionalFormatting xmlns:xm="http://schemas.microsoft.com/office/excel/2006/main">
          <x14:cfRule type="containsText" priority="45" operator="containsText" id="{A29E20D3-86A0-4110-95E2-4C9D100CCAF5}">
            <xm:f>NOT(ISERROR(SEARCH($V$397,Y97)))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44" operator="containsText" id="{78646800-BD77-496D-B41B-C8A9C1DE199A}">
            <xm:f>NOT(ISERROR(SEARCH($V$399,Y97)))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3" operator="containsText" id="{6C2E1239-D7F8-4030-8E98-7FC41E872A52}">
            <xm:f>NOT(ISERROR(SEARCH($V$400,Y97)))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2" operator="containsText" id="{AD3189B4-0206-43ED-AF44-817807725EBA}">
            <xm:f>NOT(ISERROR(SEARCH($V$402,Y97)))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41" operator="containsText" id="{20357A79-85E6-4907-9FC8-A81BDD782BA7}">
            <xm:f>NOT(ISERROR(SEARCH($V$396,Y97)))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Y97:Z106</xm:sqref>
        </x14:conditionalFormatting>
        <x14:conditionalFormatting xmlns:xm="http://schemas.microsoft.com/office/excel/2006/main">
          <x14:cfRule type="containsText" priority="165" operator="containsText" id="{78D27684-A6D3-4761-B883-EAAFA618F11A}">
            <xm:f>NOT(ISERROR(SEARCH($V$352,Y107)))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66" operator="containsText" id="{A52E66BE-428F-4243-A940-5764368F4781}">
            <xm:f>NOT(ISERROR(SEARCH($V$358,Y107)))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67" operator="containsText" id="{BECF2290-9AC0-49A3-9BF5-C022D333BDE5}">
            <xm:f>NOT(ISERROR(SEARCH($V$356,Y107)))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68" operator="containsText" id="{F5819220-E29D-42B1-A5F1-A7227F893C45}">
            <xm:f>NOT(ISERROR(SEARCH($V$355,Y107)))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69" operator="containsText" id="{0C8FFDA2-DE2C-4B81-A237-61E8C69B3364}">
            <xm:f>NOT(ISERROR(SEARCH($V$353,Y107)))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Y107:Z110 Y113:Z114</xm:sqref>
        </x14:conditionalFormatting>
        <x14:conditionalFormatting xmlns:xm="http://schemas.microsoft.com/office/excel/2006/main">
          <x14:cfRule type="containsText" priority="78" operator="containsText" id="{8522828F-602D-4CE9-B119-2EA27617056F}">
            <xm:f>NOT(ISERROR(SEARCH(#REF!,Y111)))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9" operator="containsText" id="{B6728C11-AF52-4B5C-868A-2CF18679DC39}">
            <xm:f>NOT(ISERROR(SEARCH(#REF!,Y111)))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0" operator="containsText" id="{AE7F71C0-61F9-4969-8BE6-A7AB7B6A609F}">
            <xm:f>NOT(ISERROR(SEARCH(#REF!,Y111)))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81" operator="containsText" id="{3326558E-703A-4EF9-8EC1-0C757AE96E10}">
            <xm:f>NOT(ISERROR(SEARCH(#REF!,Y111)))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82" operator="containsText" id="{8AF75714-BDF6-4977-B611-2309ED4E0B09}">
            <xm:f>NOT(ISERROR(SEARCH(#REF!,Y111)))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Y111:Z111</xm:sqref>
        </x14:conditionalFormatting>
        <x14:conditionalFormatting xmlns:xm="http://schemas.microsoft.com/office/excel/2006/main">
          <x14:cfRule type="containsText" priority="57" operator="containsText" id="{0A18F168-5EE4-49E0-8008-611BB50DC027}">
            <xm:f>NOT(ISERROR(SEARCH($V$416,Y112)))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8" operator="containsText" id="{84C04AE8-D879-40B9-87EC-7B974C33A14E}">
            <xm:f>NOT(ISERROR(SEARCH($V$422,Y112)))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9" operator="containsText" id="{C5795046-5BD3-4030-9F4C-C3EF734A3AE6}">
            <xm:f>NOT(ISERROR(SEARCH($V$420,Y112)))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61" operator="containsText" id="{DC214A38-9D35-4FF7-9C71-B0BE003F81CB}">
            <xm:f>NOT(ISERROR(SEARCH($V$417,Y112)))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60" operator="containsText" id="{6666C611-B804-41FC-9B48-E5BAFBF6B325}">
            <xm:f>NOT(ISERROR(SEARCH($V$419,Y112)))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Y112:Z112</xm:sqref>
        </x14:conditionalFormatting>
        <x14:conditionalFormatting xmlns:xm="http://schemas.microsoft.com/office/excel/2006/main">
          <x14:cfRule type="containsText" priority="14" operator="containsText" id="{1E72D165-A28B-44B1-8C1E-C72C054E858F}">
            <xm:f>NOT(ISERROR(SEARCH($V$418,Y120)))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3" operator="containsText" id="{43723C2E-EB86-4DF0-BCBC-6DD85D164374}">
            <xm:f>NOT(ISERROR(SEARCH($V$419,Y120)))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2" operator="containsText" id="{C3FC3E61-A4B6-41E7-8EA2-C3F157EC7A73}">
            <xm:f>NOT(ISERROR(SEARCH($V$421,Y120)))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" operator="containsText" id="{6D105840-42B9-4EE3-BCC8-C626F2478A24}">
            <xm:f>NOT(ISERROR(SEARCH($V$415,Y120)))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5" operator="containsText" id="{A8254DF2-03C6-4341-A492-C455026E84BF}">
            <xm:f>NOT(ISERROR(SEARCH($V$416,Y120)))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Y120:Z120</xm:sqref>
        </x14:conditionalFormatting>
        <x14:conditionalFormatting xmlns:xm="http://schemas.microsoft.com/office/excel/2006/main">
          <x14:cfRule type="containsText" priority="88" operator="containsText" id="{AC31B234-574E-491E-BE04-399AAC68564F}">
            <xm:f>NOT(ISERROR(SEARCH($V$415,Y131)))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9" operator="containsText" id="{E4205F40-6EBD-4D50-886E-F8030D102D8E}">
            <xm:f>NOT(ISERROR(SEARCH($V$421,Y131)))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90" operator="containsText" id="{C973ECEE-AF92-4505-A33D-F78EB60EF6F4}">
            <xm:f>NOT(ISERROR(SEARCH($V$419,Y131)))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1" operator="containsText" id="{CD97821C-0952-4B99-A821-3B9D09CE49D8}">
            <xm:f>NOT(ISERROR(SEARCH($V$418,Y131)))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92" operator="containsText" id="{91F45719-18E6-40C7-BE26-BCE07438AAF2}">
            <xm:f>NOT(ISERROR(SEARCH($V$416,Y131)))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Y131:Z131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>
      <selection activeCell="A5" sqref="A5:F5"/>
    </sheetView>
  </sheetViews>
  <sheetFormatPr defaultRowHeight="14.5" x14ac:dyDescent="0.35"/>
  <cols>
    <col min="2" max="2" width="9.1796875" customWidth="1"/>
    <col min="5" max="5" width="10" customWidth="1"/>
    <col min="6" max="6" width="14.81640625" customWidth="1"/>
    <col min="7" max="7" width="9.81640625" customWidth="1"/>
  </cols>
  <sheetData>
    <row r="1" spans="1:7" x14ac:dyDescent="0.35">
      <c r="A1" s="454"/>
      <c r="B1" s="454"/>
      <c r="C1" s="927" t="s">
        <v>542</v>
      </c>
      <c r="D1" s="927"/>
      <c r="E1" s="927"/>
      <c r="F1" s="927"/>
      <c r="G1" s="927"/>
    </row>
    <row r="2" spans="1:7" x14ac:dyDescent="0.35">
      <c r="A2" s="454"/>
      <c r="B2" s="454"/>
      <c r="C2" s="927"/>
      <c r="D2" s="927"/>
      <c r="E2" s="927"/>
      <c r="F2" s="927"/>
      <c r="G2" s="927"/>
    </row>
    <row r="3" spans="1:7" x14ac:dyDescent="0.35">
      <c r="A3" s="454"/>
      <c r="B3" s="454"/>
      <c r="C3" s="927"/>
      <c r="D3" s="927"/>
      <c r="E3" s="927"/>
      <c r="F3" s="927"/>
      <c r="G3" s="927"/>
    </row>
    <row r="4" spans="1:7" ht="18.5" x14ac:dyDescent="0.45">
      <c r="A4" s="928" t="s">
        <v>543</v>
      </c>
      <c r="B4" s="928"/>
      <c r="C4" s="929" t="s">
        <v>544</v>
      </c>
      <c r="D4" s="929"/>
      <c r="E4" s="1" t="s">
        <v>545</v>
      </c>
      <c r="F4" s="3" t="s">
        <v>411</v>
      </c>
      <c r="G4" s="5" t="s">
        <v>546</v>
      </c>
    </row>
    <row r="5" spans="1:7" ht="21" x14ac:dyDescent="0.5">
      <c r="A5" s="923" t="s">
        <v>547</v>
      </c>
      <c r="B5" s="923"/>
      <c r="C5" s="542" t="s">
        <v>548</v>
      </c>
      <c r="D5" s="542"/>
      <c r="E5" s="8">
        <v>80</v>
      </c>
      <c r="F5" s="8" t="e">
        <f>#REF!+#REF!</f>
        <v>#REF!</v>
      </c>
      <c r="G5" s="8" t="e">
        <f>E5-F5</f>
        <v>#REF!</v>
      </c>
    </row>
    <row r="6" spans="1:7" ht="21" x14ac:dyDescent="0.5">
      <c r="A6" s="923" t="s">
        <v>549</v>
      </c>
      <c r="B6" s="923"/>
      <c r="C6" s="542" t="s">
        <v>548</v>
      </c>
      <c r="D6" s="542"/>
      <c r="E6" s="8">
        <v>40</v>
      </c>
      <c r="F6" s="8" t="e">
        <f>#REF!</f>
        <v>#REF!</v>
      </c>
      <c r="G6" s="8" t="e">
        <f>E6-F6</f>
        <v>#REF!</v>
      </c>
    </row>
    <row r="7" spans="1:7" x14ac:dyDescent="0.35">
      <c r="A7" s="924" t="s">
        <v>545</v>
      </c>
      <c r="B7" s="925"/>
      <c r="C7" s="925"/>
      <c r="D7" s="926"/>
      <c r="E7" s="2">
        <f>SUM(E5:E6)</f>
        <v>120</v>
      </c>
      <c r="F7" s="4" t="e">
        <f>SUM(F5:F6)</f>
        <v>#REF!</v>
      </c>
      <c r="G7" s="6" t="e">
        <f>SUM(G5:G6)</f>
        <v>#REF!</v>
      </c>
    </row>
    <row r="14" spans="1:7" x14ac:dyDescent="0.35">
      <c r="F14" t="s">
        <v>550</v>
      </c>
    </row>
  </sheetData>
  <mergeCells count="9">
    <mergeCell ref="A6:B6"/>
    <mergeCell ref="C6:D6"/>
    <mergeCell ref="A7:D7"/>
    <mergeCell ref="A1:B3"/>
    <mergeCell ref="C1:G3"/>
    <mergeCell ref="A4:B4"/>
    <mergeCell ref="C4:D4"/>
    <mergeCell ref="A5:B5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B7D9-39ED-4F91-A5CA-061332BA4981}">
  <dimension ref="A1:AH58"/>
  <sheetViews>
    <sheetView showGridLines="0" topLeftCell="A13" zoomScale="90" zoomScaleNormal="90" workbookViewId="0">
      <selection activeCell="P59" sqref="P59"/>
    </sheetView>
  </sheetViews>
  <sheetFormatPr defaultRowHeight="14.5" x14ac:dyDescent="0.35"/>
  <cols>
    <col min="1" max="1" width="2.1796875" customWidth="1"/>
    <col min="2" max="2" width="16.453125" bestFit="1" customWidth="1"/>
    <col min="6" max="6" width="5.453125" customWidth="1"/>
    <col min="8" max="8" width="10.1796875" customWidth="1"/>
    <col min="11" max="11" width="9.453125" customWidth="1"/>
    <col min="13" max="13" width="5.1796875" customWidth="1"/>
    <col min="14" max="14" width="0.1796875" customWidth="1"/>
    <col min="15" max="15" width="3.81640625" hidden="1" customWidth="1"/>
    <col min="16" max="16" width="11.1796875" customWidth="1"/>
    <col min="17" max="17" width="17.81640625" customWidth="1"/>
    <col min="22" max="22" width="7.1796875" customWidth="1"/>
    <col min="23" max="23" width="1.1796875" customWidth="1"/>
    <col min="26" max="26" width="8.81640625" customWidth="1"/>
    <col min="28" max="28" width="18.1796875" customWidth="1"/>
  </cols>
  <sheetData>
    <row r="1" spans="1:28" ht="14.5" customHeight="1" x14ac:dyDescent="0.35">
      <c r="A1" s="7"/>
      <c r="B1" s="326" t="s">
        <v>551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</row>
    <row r="2" spans="1:28" ht="14.5" customHeight="1" x14ac:dyDescent="0.35">
      <c r="A2" s="7"/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1:28" ht="14.5" customHeight="1" x14ac:dyDescent="0.35">
      <c r="A3" s="7"/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Q3" s="26"/>
      <c r="R3" s="930"/>
      <c r="S3" s="930"/>
      <c r="T3" s="930"/>
      <c r="U3" s="930"/>
      <c r="V3" s="930"/>
      <c r="W3" s="931"/>
      <c r="X3" s="931"/>
      <c r="Y3" s="931"/>
    </row>
    <row r="4" spans="1:28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28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28" ht="14.5" customHeight="1" x14ac:dyDescent="0.35">
      <c r="A6" s="53"/>
      <c r="B6" s="990" t="e" vm="1">
        <v>#VALUE!</v>
      </c>
      <c r="C6" s="991"/>
      <c r="D6" s="992"/>
      <c r="E6" s="478" t="s">
        <v>552</v>
      </c>
      <c r="F6" s="479"/>
      <c r="G6" s="479"/>
      <c r="H6" s="479"/>
      <c r="I6" s="479"/>
      <c r="J6" s="479"/>
      <c r="K6" s="479"/>
      <c r="L6" s="479"/>
      <c r="M6" s="480"/>
      <c r="N6" s="16"/>
      <c r="P6" s="53"/>
      <c r="Q6" s="990"/>
      <c r="R6" s="991"/>
      <c r="S6" s="992"/>
      <c r="T6" s="478" t="s">
        <v>553</v>
      </c>
      <c r="U6" s="479"/>
      <c r="V6" s="479"/>
      <c r="W6" s="479"/>
      <c r="X6" s="479"/>
      <c r="Y6" s="479"/>
      <c r="Z6" s="479"/>
      <c r="AA6" s="479"/>
      <c r="AB6" s="480"/>
    </row>
    <row r="7" spans="1:28" ht="14.5" customHeight="1" x14ac:dyDescent="0.35">
      <c r="A7" s="53"/>
      <c r="B7" s="993"/>
      <c r="C7" s="994"/>
      <c r="D7" s="995"/>
      <c r="E7" s="481"/>
      <c r="F7" s="482"/>
      <c r="G7" s="482"/>
      <c r="H7" s="482"/>
      <c r="I7" s="482"/>
      <c r="J7" s="482"/>
      <c r="K7" s="482"/>
      <c r="L7" s="482"/>
      <c r="M7" s="483"/>
      <c r="N7" s="16"/>
      <c r="P7" s="53"/>
      <c r="Q7" s="993"/>
      <c r="R7" s="994"/>
      <c r="S7" s="995"/>
      <c r="T7" s="481"/>
      <c r="U7" s="482"/>
      <c r="V7" s="482"/>
      <c r="W7" s="482"/>
      <c r="X7" s="482"/>
      <c r="Y7" s="482"/>
      <c r="Z7" s="482"/>
      <c r="AA7" s="482"/>
      <c r="AB7" s="483"/>
    </row>
    <row r="8" spans="1:28" ht="14.5" customHeight="1" x14ac:dyDescent="0.35">
      <c r="A8" s="53"/>
      <c r="B8" s="996"/>
      <c r="C8" s="997"/>
      <c r="D8" s="998"/>
      <c r="E8" s="484"/>
      <c r="F8" s="485"/>
      <c r="G8" s="485"/>
      <c r="H8" s="485"/>
      <c r="I8" s="485"/>
      <c r="J8" s="485"/>
      <c r="K8" s="485"/>
      <c r="L8" s="485"/>
      <c r="M8" s="486"/>
      <c r="N8" s="16"/>
      <c r="P8" s="53"/>
      <c r="Q8" s="996"/>
      <c r="R8" s="997"/>
      <c r="S8" s="998"/>
      <c r="T8" s="484"/>
      <c r="U8" s="485"/>
      <c r="V8" s="485"/>
      <c r="W8" s="485"/>
      <c r="X8" s="485"/>
      <c r="Y8" s="485"/>
      <c r="Z8" s="485"/>
      <c r="AA8" s="485"/>
      <c r="AB8" s="486"/>
    </row>
    <row r="9" spans="1:28" ht="21" x14ac:dyDescent="0.35">
      <c r="A9" s="53"/>
      <c r="B9" s="136" t="s">
        <v>4</v>
      </c>
      <c r="C9" s="137" t="s">
        <v>5</v>
      </c>
      <c r="D9" s="999" t="s">
        <v>6</v>
      </c>
      <c r="E9" s="1000"/>
      <c r="F9" s="1000"/>
      <c r="G9" s="1000"/>
      <c r="H9" s="1001"/>
      <c r="I9" s="999" t="s">
        <v>7</v>
      </c>
      <c r="J9" s="1000"/>
      <c r="K9" s="1001"/>
      <c r="L9" s="999" t="s">
        <v>8</v>
      </c>
      <c r="M9" s="1001"/>
      <c r="N9" s="16"/>
      <c r="P9" s="53"/>
      <c r="Q9" s="136" t="s">
        <v>4</v>
      </c>
      <c r="R9" s="136" t="s">
        <v>5</v>
      </c>
      <c r="S9" s="999" t="s">
        <v>6</v>
      </c>
      <c r="T9" s="1000"/>
      <c r="U9" s="1000"/>
      <c r="V9" s="1000"/>
      <c r="W9" s="1001"/>
      <c r="X9" s="999" t="s">
        <v>7</v>
      </c>
      <c r="Y9" s="1000"/>
      <c r="Z9" s="1001"/>
      <c r="AA9" s="999" t="s">
        <v>8</v>
      </c>
      <c r="AB9" s="1001"/>
    </row>
    <row r="10" spans="1:28" ht="15" customHeight="1" x14ac:dyDescent="0.35">
      <c r="A10" s="53"/>
      <c r="B10" s="1008">
        <v>2961</v>
      </c>
      <c r="C10" s="12"/>
      <c r="D10" s="228"/>
      <c r="E10" s="229"/>
      <c r="F10" s="229"/>
      <c r="G10" s="229"/>
      <c r="H10" s="230"/>
      <c r="I10" s="256"/>
      <c r="J10" s="257"/>
      <c r="K10" s="257"/>
      <c r="L10" s="940"/>
      <c r="M10" s="941"/>
      <c r="N10" s="16"/>
      <c r="P10" s="53"/>
      <c r="Q10" s="1008">
        <v>2954</v>
      </c>
      <c r="R10" s="11"/>
      <c r="S10" s="435"/>
      <c r="T10" s="436"/>
      <c r="U10" s="436"/>
      <c r="V10" s="436"/>
      <c r="W10" s="437"/>
      <c r="X10" s="821"/>
      <c r="Y10" s="822"/>
      <c r="Z10" s="823"/>
      <c r="AA10" s="984"/>
      <c r="AB10" s="985"/>
    </row>
    <row r="11" spans="1:28" ht="14.5" customHeight="1" x14ac:dyDescent="0.35">
      <c r="A11" s="53"/>
      <c r="B11" s="1009"/>
      <c r="C11" s="13"/>
      <c r="D11" s="435"/>
      <c r="E11" s="436"/>
      <c r="F11" s="436"/>
      <c r="G11" s="436"/>
      <c r="H11" s="437"/>
      <c r="I11" s="439"/>
      <c r="J11" s="440"/>
      <c r="K11" s="441"/>
      <c r="L11" s="957"/>
      <c r="M11" s="958"/>
      <c r="N11" s="16"/>
      <c r="P11" s="53"/>
      <c r="Q11" s="1009"/>
      <c r="R11" s="13"/>
      <c r="S11" s="435"/>
      <c r="T11" s="436"/>
      <c r="U11" s="436"/>
      <c r="V11" s="436"/>
      <c r="W11" s="437"/>
      <c r="X11" s="439"/>
      <c r="Y11" s="440"/>
      <c r="Z11" s="441"/>
      <c r="AA11" s="942"/>
      <c r="AB11" s="943"/>
    </row>
    <row r="12" spans="1:28" ht="14.5" customHeight="1" x14ac:dyDescent="0.35">
      <c r="A12" s="53"/>
      <c r="B12" s="1009"/>
      <c r="C12" s="13"/>
      <c r="D12" s="435"/>
      <c r="E12" s="436"/>
      <c r="F12" s="436"/>
      <c r="G12" s="436"/>
      <c r="H12" s="437"/>
      <c r="I12" s="439"/>
      <c r="J12" s="440"/>
      <c r="K12" s="440"/>
      <c r="L12" s="1007"/>
      <c r="M12" s="943"/>
      <c r="N12" s="16"/>
      <c r="P12" s="53"/>
      <c r="Q12" s="1009"/>
      <c r="R12" s="13"/>
      <c r="S12" s="435"/>
      <c r="T12" s="436"/>
      <c r="U12" s="436"/>
      <c r="V12" s="436"/>
      <c r="W12" s="437"/>
      <c r="X12" s="439"/>
      <c r="Y12" s="440"/>
      <c r="Z12" s="441"/>
      <c r="AA12" s="942"/>
      <c r="AB12" s="943"/>
    </row>
    <row r="13" spans="1:28" ht="14.5" customHeight="1" x14ac:dyDescent="0.35">
      <c r="A13" s="53"/>
      <c r="B13" s="1010"/>
      <c r="C13" s="14"/>
      <c r="D13" s="844"/>
      <c r="E13" s="845"/>
      <c r="F13" s="845"/>
      <c r="G13" s="845"/>
      <c r="H13" s="846"/>
      <c r="I13" s="804"/>
      <c r="J13" s="805"/>
      <c r="K13" s="806"/>
      <c r="L13" s="962"/>
      <c r="M13" s="963"/>
      <c r="N13" s="16"/>
      <c r="P13" s="135"/>
      <c r="Q13" s="1010"/>
      <c r="R13" s="14"/>
      <c r="S13" s="978"/>
      <c r="T13" s="979"/>
      <c r="U13" s="979"/>
      <c r="V13" s="979"/>
      <c r="W13" s="980"/>
      <c r="X13" s="804"/>
      <c r="Y13" s="805"/>
      <c r="Z13" s="806"/>
      <c r="AA13" s="962"/>
      <c r="AB13" s="963"/>
    </row>
    <row r="14" spans="1:28" ht="15" customHeight="1" x14ac:dyDescent="0.35">
      <c r="A14" s="53"/>
      <c r="B14" s="1011">
        <v>2963</v>
      </c>
      <c r="C14" s="43"/>
      <c r="D14" s="981"/>
      <c r="E14" s="982"/>
      <c r="F14" s="982"/>
      <c r="G14" s="982"/>
      <c r="H14" s="983"/>
      <c r="I14" s="907"/>
      <c r="J14" s="272"/>
      <c r="K14" s="273"/>
      <c r="L14" s="256"/>
      <c r="M14" s="258"/>
      <c r="N14" s="16"/>
      <c r="P14" s="53"/>
      <c r="Q14" s="934">
        <v>2962</v>
      </c>
      <c r="R14" s="43"/>
      <c r="S14" s="981"/>
      <c r="T14" s="982"/>
      <c r="U14" s="982"/>
      <c r="V14" s="982"/>
      <c r="W14" s="983"/>
      <c r="X14" s="271"/>
      <c r="Y14" s="272"/>
      <c r="Z14" s="273"/>
      <c r="AA14" s="984"/>
      <c r="AB14" s="985"/>
    </row>
    <row r="15" spans="1:28" ht="14.5" customHeight="1" x14ac:dyDescent="0.35">
      <c r="A15" s="53"/>
      <c r="B15" s="1012"/>
      <c r="C15" s="47"/>
      <c r="D15" s="937"/>
      <c r="E15" s="938"/>
      <c r="F15" s="938"/>
      <c r="G15" s="938"/>
      <c r="H15" s="939"/>
      <c r="I15" s="619"/>
      <c r="J15" s="620"/>
      <c r="K15" s="621"/>
      <c r="L15" s="957"/>
      <c r="M15" s="958"/>
      <c r="N15" s="16"/>
      <c r="P15" s="53"/>
      <c r="Q15" s="935"/>
      <c r="R15" s="44"/>
      <c r="S15" s="423"/>
      <c r="T15" s="424"/>
      <c r="U15" s="424"/>
      <c r="V15" s="424"/>
      <c r="W15" s="425"/>
      <c r="X15" s="619"/>
      <c r="Y15" s="620"/>
      <c r="Z15" s="621"/>
      <c r="AA15" s="986"/>
      <c r="AB15" s="987"/>
    </row>
    <row r="16" spans="1:28" ht="14.5" customHeight="1" x14ac:dyDescent="0.35">
      <c r="A16" s="53"/>
      <c r="B16" s="1012"/>
      <c r="C16" s="44"/>
      <c r="D16" s="423"/>
      <c r="E16" s="424"/>
      <c r="F16" s="424"/>
      <c r="G16" s="424"/>
      <c r="H16" s="425"/>
      <c r="I16" s="268"/>
      <c r="J16" s="269"/>
      <c r="K16" s="270"/>
      <c r="L16" s="942"/>
      <c r="M16" s="943"/>
      <c r="N16" s="16"/>
      <c r="P16" s="53"/>
      <c r="Q16" s="935"/>
      <c r="R16" s="47"/>
      <c r="S16" s="420"/>
      <c r="T16" s="421"/>
      <c r="U16" s="421"/>
      <c r="V16" s="421"/>
      <c r="W16" s="422"/>
      <c r="X16" s="412"/>
      <c r="Y16" s="412"/>
      <c r="Z16" s="988"/>
      <c r="AA16" s="986"/>
      <c r="AB16" s="987"/>
    </row>
    <row r="17" spans="1:29" ht="14.5" customHeight="1" x14ac:dyDescent="0.35">
      <c r="A17" s="53"/>
      <c r="B17" s="1013"/>
      <c r="C17" s="45"/>
      <c r="D17" s="679"/>
      <c r="E17" s="680"/>
      <c r="F17" s="680"/>
      <c r="G17" s="680"/>
      <c r="H17" s="681"/>
      <c r="I17" s="907"/>
      <c r="J17" s="908"/>
      <c r="K17" s="909"/>
      <c r="L17" s="962"/>
      <c r="M17" s="963"/>
      <c r="N17" s="16"/>
      <c r="P17" s="53"/>
      <c r="Q17" s="936"/>
      <c r="R17" s="45"/>
      <c r="S17" s="679"/>
      <c r="T17" s="680"/>
      <c r="U17" s="680"/>
      <c r="V17" s="680"/>
      <c r="W17" s="681"/>
      <c r="X17" s="907"/>
      <c r="Y17" s="908"/>
      <c r="Z17" s="909"/>
      <c r="AA17" s="989"/>
      <c r="AB17" s="384"/>
    </row>
    <row r="18" spans="1:29" ht="15" customHeight="1" x14ac:dyDescent="0.35">
      <c r="A18" s="53"/>
      <c r="B18" s="1008">
        <v>2958</v>
      </c>
      <c r="C18" s="11"/>
      <c r="D18" s="435"/>
      <c r="E18" s="436"/>
      <c r="F18" s="436"/>
      <c r="G18" s="436"/>
      <c r="H18" s="437"/>
      <c r="I18" s="821"/>
      <c r="J18" s="822"/>
      <c r="K18" s="823"/>
      <c r="L18" s="940"/>
      <c r="M18" s="941"/>
      <c r="N18" s="16"/>
      <c r="P18" s="53"/>
      <c r="Q18" s="946">
        <v>2953</v>
      </c>
      <c r="R18" s="11"/>
      <c r="S18" s="492"/>
      <c r="T18" s="210"/>
      <c r="U18" s="210"/>
      <c r="V18" s="210"/>
      <c r="W18" s="211"/>
      <c r="X18" s="265"/>
      <c r="Y18" s="266"/>
      <c r="Z18" s="267"/>
      <c r="AA18" s="953"/>
      <c r="AB18" s="954"/>
    </row>
    <row r="19" spans="1:29" ht="14.5" customHeight="1" x14ac:dyDescent="0.35">
      <c r="A19" s="53"/>
      <c r="B19" s="1009"/>
      <c r="C19" s="13"/>
      <c r="I19" s="439"/>
      <c r="J19" s="440"/>
      <c r="K19" s="441"/>
      <c r="L19" s="957"/>
      <c r="M19" s="958"/>
      <c r="N19" s="16"/>
      <c r="P19" s="53"/>
      <c r="Q19" s="947"/>
      <c r="R19" s="13"/>
      <c r="S19" s="359"/>
      <c r="T19" s="360"/>
      <c r="U19" s="360"/>
      <c r="V19" s="360"/>
      <c r="W19" s="361"/>
      <c r="X19" s="973"/>
      <c r="Y19" s="973"/>
      <c r="Z19" s="973"/>
      <c r="AA19" s="895"/>
      <c r="AB19" s="296"/>
    </row>
    <row r="20" spans="1:29" ht="14.5" customHeight="1" x14ac:dyDescent="0.35">
      <c r="A20" s="53"/>
      <c r="B20" s="1009"/>
      <c r="C20" s="13"/>
      <c r="D20" s="435"/>
      <c r="E20" s="436"/>
      <c r="F20" s="436"/>
      <c r="G20" s="436"/>
      <c r="H20" s="437"/>
      <c r="I20" s="439"/>
      <c r="J20" s="440"/>
      <c r="K20" s="441"/>
      <c r="L20" s="942"/>
      <c r="M20" s="943"/>
      <c r="N20" s="16"/>
      <c r="P20" s="53"/>
      <c r="Q20" s="947"/>
      <c r="R20" s="13"/>
      <c r="S20" s="435"/>
      <c r="T20" s="436"/>
      <c r="U20" s="436"/>
      <c r="V20" s="436"/>
      <c r="W20" s="437"/>
      <c r="X20" s="256"/>
      <c r="Y20" s="257"/>
      <c r="Z20" s="258"/>
      <c r="AA20" s="295"/>
      <c r="AB20" s="296"/>
    </row>
    <row r="21" spans="1:29" ht="14.5" customHeight="1" x14ac:dyDescent="0.35">
      <c r="A21" s="53"/>
      <c r="B21" s="1010"/>
      <c r="C21" s="14"/>
      <c r="D21" s="215"/>
      <c r="E21" s="216"/>
      <c r="F21" s="216"/>
      <c r="G21" s="216"/>
      <c r="H21" s="217"/>
      <c r="I21" s="380"/>
      <c r="J21" s="309"/>
      <c r="K21" s="310"/>
      <c r="L21" s="944"/>
      <c r="M21" s="945"/>
      <c r="N21" s="16"/>
      <c r="P21" s="53"/>
      <c r="Q21" s="948"/>
      <c r="R21" s="14"/>
      <c r="S21" s="844"/>
      <c r="T21" s="845"/>
      <c r="U21" s="845"/>
      <c r="V21" s="845"/>
      <c r="W21" s="846"/>
      <c r="X21" s="974"/>
      <c r="Y21" s="974"/>
      <c r="Z21" s="975"/>
      <c r="AA21" s="976"/>
      <c r="AB21" s="977"/>
    </row>
    <row r="22" spans="1:29" ht="15" customHeight="1" x14ac:dyDescent="0.35">
      <c r="A22" s="53"/>
      <c r="B22" s="1011">
        <v>2957</v>
      </c>
      <c r="C22" s="47"/>
      <c r="D22" s="429"/>
      <c r="E22" s="430"/>
      <c r="F22" s="430"/>
      <c r="G22" s="430"/>
      <c r="H22" s="431"/>
      <c r="I22" s="411"/>
      <c r="J22" s="412"/>
      <c r="K22" s="413"/>
      <c r="L22" s="962"/>
      <c r="M22" s="963"/>
      <c r="N22" s="16"/>
      <c r="P22" s="53"/>
      <c r="Q22" s="964">
        <v>2952</v>
      </c>
      <c r="R22" s="47"/>
      <c r="S22" s="420"/>
      <c r="T22" s="421"/>
      <c r="U22" s="421"/>
      <c r="V22" s="421"/>
      <c r="W22" s="422"/>
      <c r="X22" s="415"/>
      <c r="Y22" s="415"/>
      <c r="Z22" s="896"/>
      <c r="AA22" s="953"/>
      <c r="AB22" s="967"/>
    </row>
    <row r="23" spans="1:29" ht="14.5" customHeight="1" x14ac:dyDescent="0.35">
      <c r="A23" s="53"/>
      <c r="B23" s="1012"/>
      <c r="C23" s="44"/>
      <c r="D23" s="902"/>
      <c r="E23" s="903"/>
      <c r="F23" s="903"/>
      <c r="G23" s="903"/>
      <c r="H23" s="904"/>
      <c r="I23" s="268"/>
      <c r="J23" s="269"/>
      <c r="K23" s="270"/>
      <c r="L23" s="942"/>
      <c r="M23" s="943"/>
      <c r="N23" s="16"/>
      <c r="P23" s="53"/>
      <c r="Q23" s="965"/>
      <c r="R23" s="69"/>
      <c r="S23" s="423"/>
      <c r="T23" s="424"/>
      <c r="U23" s="424"/>
      <c r="V23" s="424"/>
      <c r="W23" s="425"/>
      <c r="X23" s="853"/>
      <c r="Y23" s="854"/>
      <c r="Z23" s="854"/>
      <c r="AA23" s="746"/>
      <c r="AB23" s="968"/>
      <c r="AC23" s="134"/>
    </row>
    <row r="24" spans="1:29" ht="14.5" customHeight="1" x14ac:dyDescent="0.35">
      <c r="A24" s="53"/>
      <c r="B24" s="1012"/>
      <c r="C24" s="44"/>
      <c r="D24" s="423"/>
      <c r="E24" s="424"/>
      <c r="F24" s="424"/>
      <c r="G24" s="424"/>
      <c r="H24" s="425"/>
      <c r="I24" s="268"/>
      <c r="J24" s="269"/>
      <c r="K24" s="270"/>
      <c r="L24" s="962"/>
      <c r="M24" s="963"/>
      <c r="N24" s="16"/>
      <c r="P24" s="54"/>
      <c r="Q24" s="965"/>
      <c r="R24" s="44"/>
      <c r="S24" s="898"/>
      <c r="T24" s="898"/>
      <c r="U24" s="898"/>
      <c r="V24" s="898"/>
      <c r="W24" s="899"/>
      <c r="X24" s="414"/>
      <c r="Y24" s="415"/>
      <c r="Z24" s="416"/>
      <c r="AA24" s="969"/>
      <c r="AB24" s="970"/>
    </row>
    <row r="25" spans="1:29" ht="14.5" customHeight="1" x14ac:dyDescent="0.35">
      <c r="A25" s="53"/>
      <c r="B25" s="1013"/>
      <c r="C25" s="45"/>
      <c r="D25" s="679"/>
      <c r="E25" s="680"/>
      <c r="F25" s="680"/>
      <c r="G25" s="680"/>
      <c r="H25" s="681"/>
      <c r="I25" s="417"/>
      <c r="J25" s="418"/>
      <c r="K25" s="419"/>
      <c r="L25" s="1005"/>
      <c r="M25" s="1006"/>
      <c r="N25" s="16"/>
      <c r="P25" s="53"/>
      <c r="Q25" s="966"/>
      <c r="R25" s="61"/>
      <c r="S25" s="433"/>
      <c r="T25" s="433"/>
      <c r="U25" s="433"/>
      <c r="V25" s="433"/>
      <c r="W25" s="434"/>
      <c r="X25" s="417"/>
      <c r="Y25" s="418"/>
      <c r="Z25" s="419"/>
      <c r="AA25" s="971"/>
      <c r="AB25" s="972"/>
    </row>
    <row r="26" spans="1:29" ht="15" customHeight="1" x14ac:dyDescent="0.35">
      <c r="A26" s="53"/>
      <c r="B26" s="1008">
        <v>2956</v>
      </c>
      <c r="C26" s="13"/>
      <c r="D26" s="796"/>
      <c r="E26" s="797"/>
      <c r="F26" s="797"/>
      <c r="G26" s="797"/>
      <c r="H26" s="798"/>
      <c r="I26" s="754"/>
      <c r="J26" s="755"/>
      <c r="K26" s="756"/>
      <c r="L26" s="940"/>
      <c r="M26" s="941"/>
      <c r="N26" s="16"/>
      <c r="P26" s="53"/>
      <c r="Q26" s="946">
        <v>2950</v>
      </c>
      <c r="R26" s="11"/>
      <c r="S26" s="228"/>
      <c r="T26" s="229"/>
      <c r="U26" s="229"/>
      <c r="V26" s="229"/>
      <c r="W26" s="230"/>
      <c r="X26" s="821"/>
      <c r="Y26" s="822"/>
      <c r="Z26" s="823"/>
      <c r="AA26" s="940"/>
      <c r="AB26" s="941"/>
    </row>
    <row r="27" spans="1:29" ht="14.5" customHeight="1" x14ac:dyDescent="0.35">
      <c r="A27" s="53"/>
      <c r="B27" s="1009"/>
      <c r="C27" s="169"/>
      <c r="D27" s="1018"/>
      <c r="E27" s="1019"/>
      <c r="F27" s="1019"/>
      <c r="G27" s="1019"/>
      <c r="H27" s="1020"/>
      <c r="I27" s="169"/>
      <c r="J27" s="169"/>
      <c r="K27" s="169"/>
      <c r="L27" s="1016"/>
      <c r="M27" s="1017"/>
      <c r="N27" s="16"/>
      <c r="P27" s="53"/>
      <c r="Q27" s="947"/>
      <c r="R27" s="13"/>
      <c r="S27" s="435"/>
      <c r="T27" s="436"/>
      <c r="U27" s="436"/>
      <c r="V27" s="436"/>
      <c r="W27" s="437"/>
      <c r="X27" s="439"/>
      <c r="Y27" s="440"/>
      <c r="Z27" s="441"/>
      <c r="AA27" s="957"/>
      <c r="AB27" s="958"/>
    </row>
    <row r="28" spans="1:29" ht="14.5" customHeight="1" x14ac:dyDescent="0.35">
      <c r="A28" s="53"/>
      <c r="B28" s="1009"/>
      <c r="C28" s="13"/>
      <c r="D28" s="228"/>
      <c r="E28" s="229"/>
      <c r="F28" s="229"/>
      <c r="G28" s="229"/>
      <c r="H28" s="230"/>
      <c r="I28" s="439"/>
      <c r="J28" s="440"/>
      <c r="K28" s="441"/>
      <c r="L28" s="962"/>
      <c r="M28" s="963"/>
      <c r="N28" s="16"/>
      <c r="P28" s="53"/>
      <c r="Q28" s="947"/>
      <c r="R28" s="13"/>
      <c r="S28" s="435"/>
      <c r="T28" s="436"/>
      <c r="U28" s="436"/>
      <c r="V28" s="436"/>
      <c r="W28" s="437"/>
      <c r="X28" s="439"/>
      <c r="Y28" s="440"/>
      <c r="Z28" s="441"/>
      <c r="AA28" s="942"/>
      <c r="AB28" s="943"/>
    </row>
    <row r="29" spans="1:29" ht="14.5" customHeight="1" x14ac:dyDescent="0.35">
      <c r="A29" s="53"/>
      <c r="B29" s="1010"/>
      <c r="C29" s="14"/>
      <c r="D29" s="959"/>
      <c r="E29" s="960"/>
      <c r="F29" s="960"/>
      <c r="G29" s="960"/>
      <c r="H29" s="961"/>
      <c r="I29" s="804"/>
      <c r="J29" s="805"/>
      <c r="K29" s="806"/>
      <c r="L29" s="962"/>
      <c r="M29" s="963"/>
      <c r="N29" s="16"/>
      <c r="P29" s="53"/>
      <c r="Q29" s="948"/>
      <c r="R29" s="14"/>
      <c r="S29" s="959"/>
      <c r="T29" s="960"/>
      <c r="U29" s="960"/>
      <c r="V29" s="960"/>
      <c r="W29" s="961"/>
      <c r="X29" s="804"/>
      <c r="Y29" s="805"/>
      <c r="Z29" s="806"/>
      <c r="AA29" s="962"/>
      <c r="AB29" s="963"/>
    </row>
    <row r="30" spans="1:29" ht="15" customHeight="1" x14ac:dyDescent="0.35">
      <c r="A30" s="53"/>
      <c r="B30" s="1011">
        <v>2960</v>
      </c>
      <c r="C30" s="43"/>
      <c r="D30" s="426"/>
      <c r="E30" s="427"/>
      <c r="F30" s="427"/>
      <c r="G30" s="427"/>
      <c r="H30" s="428"/>
      <c r="I30" s="414"/>
      <c r="J30" s="415"/>
      <c r="K30" s="415"/>
      <c r="L30" s="1014"/>
      <c r="M30" s="1015"/>
      <c r="N30" s="16"/>
      <c r="P30" s="53"/>
      <c r="Q30" s="934">
        <v>2951</v>
      </c>
      <c r="R30" s="43"/>
      <c r="S30" s="458"/>
      <c r="T30" s="459"/>
      <c r="U30" s="459"/>
      <c r="V30" s="459"/>
      <c r="W30" s="460"/>
      <c r="X30" s="263"/>
      <c r="Y30" s="263"/>
      <c r="Z30" s="590"/>
      <c r="AA30" s="953"/>
      <c r="AB30" s="954"/>
    </row>
    <row r="31" spans="1:29" ht="14.5" customHeight="1" x14ac:dyDescent="0.35">
      <c r="A31" s="53"/>
      <c r="B31" s="1012"/>
      <c r="C31" s="44"/>
      <c r="D31" s="423"/>
      <c r="E31" s="424"/>
      <c r="F31" s="424"/>
      <c r="G31" s="424"/>
      <c r="H31" s="425"/>
      <c r="I31" s="268"/>
      <c r="J31" s="269"/>
      <c r="K31" s="270"/>
      <c r="L31" s="962"/>
      <c r="M31" s="963"/>
      <c r="N31" s="16"/>
      <c r="P31" s="53"/>
      <c r="Q31" s="935"/>
      <c r="R31" s="44"/>
      <c r="S31" s="423"/>
      <c r="T31" s="424"/>
      <c r="U31" s="424"/>
      <c r="V31" s="424"/>
      <c r="W31" s="425"/>
      <c r="X31" s="414"/>
      <c r="Y31" s="415"/>
      <c r="Z31" s="416"/>
      <c r="AA31" s="955"/>
      <c r="AB31" s="956"/>
    </row>
    <row r="32" spans="1:29" ht="14.5" customHeight="1" x14ac:dyDescent="0.35">
      <c r="A32" s="53"/>
      <c r="B32" s="1012"/>
      <c r="C32" s="44"/>
      <c r="D32" s="420"/>
      <c r="E32" s="421"/>
      <c r="F32" s="421"/>
      <c r="G32" s="421"/>
      <c r="H32" s="422"/>
      <c r="I32" s="414"/>
      <c r="J32" s="415"/>
      <c r="K32" s="416"/>
      <c r="L32" s="962"/>
      <c r="M32" s="963"/>
      <c r="N32" s="16"/>
      <c r="P32" s="53"/>
      <c r="Q32" s="935"/>
      <c r="R32" s="44"/>
      <c r="S32" s="224"/>
      <c r="T32" s="222"/>
      <c r="U32" s="222"/>
      <c r="V32" s="222"/>
      <c r="W32" s="222"/>
      <c r="X32" s="381"/>
      <c r="Y32" s="232"/>
      <c r="Z32" s="302"/>
      <c r="AA32" s="261"/>
      <c r="AB32" s="227"/>
    </row>
    <row r="33" spans="1:34" ht="14.5" customHeight="1" x14ac:dyDescent="0.35">
      <c r="A33" s="53"/>
      <c r="B33" s="1013"/>
      <c r="C33" s="44"/>
      <c r="D33" s="1002"/>
      <c r="E33" s="1003"/>
      <c r="F33" s="1003"/>
      <c r="G33" s="1003"/>
      <c r="H33" s="1004"/>
      <c r="I33" s="414"/>
      <c r="J33" s="415"/>
      <c r="K33" s="416"/>
      <c r="L33" s="962"/>
      <c r="M33" s="963"/>
      <c r="N33" s="16"/>
      <c r="O33" s="7"/>
      <c r="P33" s="53"/>
      <c r="Q33" s="936"/>
      <c r="R33" s="47"/>
      <c r="S33" s="372"/>
      <c r="T33" s="373"/>
      <c r="U33" s="373"/>
      <c r="V33" s="373"/>
      <c r="W33" s="373"/>
      <c r="X33" s="394"/>
      <c r="Y33" s="370"/>
      <c r="Z33" s="395"/>
      <c r="AA33" s="711"/>
      <c r="AB33" s="712"/>
    </row>
    <row r="34" spans="1:34" ht="15" customHeight="1" x14ac:dyDescent="0.35">
      <c r="A34" s="53"/>
      <c r="B34" s="1008">
        <v>2959</v>
      </c>
      <c r="C34" s="11"/>
      <c r="D34" s="775"/>
      <c r="E34" s="776"/>
      <c r="F34" s="776"/>
      <c r="G34" s="776"/>
      <c r="H34" s="777"/>
      <c r="I34" s="821"/>
      <c r="J34" s="822"/>
      <c r="K34" s="823"/>
      <c r="L34" s="839"/>
      <c r="M34" s="840"/>
      <c r="N34" s="16"/>
      <c r="P34" s="53"/>
      <c r="Q34" s="946">
        <v>2948</v>
      </c>
      <c r="R34" s="143"/>
      <c r="S34" s="702"/>
      <c r="T34" s="703"/>
      <c r="U34" s="703"/>
      <c r="V34" s="703"/>
      <c r="W34" s="949"/>
      <c r="X34" s="622"/>
      <c r="Y34" s="623"/>
      <c r="Z34" s="624"/>
      <c r="AA34" s="952"/>
      <c r="AB34" s="402"/>
      <c r="AF34" s="7"/>
    </row>
    <row r="35" spans="1:34" ht="14.5" customHeight="1" x14ac:dyDescent="0.35">
      <c r="A35" s="53"/>
      <c r="B35" s="1009"/>
      <c r="C35" s="13"/>
      <c r="D35" s="435"/>
      <c r="E35" s="436"/>
      <c r="F35" s="436"/>
      <c r="G35" s="436"/>
      <c r="H35" s="437"/>
      <c r="I35" s="439"/>
      <c r="J35" s="440"/>
      <c r="K35" s="441"/>
      <c r="L35" s="383"/>
      <c r="M35" s="384"/>
      <c r="N35" s="16"/>
      <c r="P35" s="53"/>
      <c r="Q35" s="947"/>
      <c r="R35" s="13"/>
      <c r="S35" s="303"/>
      <c r="T35" s="304"/>
      <c r="U35" s="304"/>
      <c r="V35" s="304"/>
      <c r="W35" s="305"/>
      <c r="X35" s="285"/>
      <c r="Y35" s="286"/>
      <c r="Z35" s="388"/>
      <c r="AA35" s="381"/>
      <c r="AB35" s="233"/>
    </row>
    <row r="36" spans="1:34" ht="14.5" customHeight="1" x14ac:dyDescent="0.35">
      <c r="A36" s="53"/>
      <c r="B36" s="1009"/>
      <c r="C36" s="13"/>
      <c r="D36" s="435"/>
      <c r="E36" s="436"/>
      <c r="F36" s="436"/>
      <c r="G36" s="436"/>
      <c r="H36" s="437"/>
      <c r="I36" s="439"/>
      <c r="J36" s="440"/>
      <c r="K36" s="441"/>
      <c r="L36" s="942"/>
      <c r="M36" s="943"/>
      <c r="N36" s="16"/>
      <c r="P36" s="53"/>
      <c r="Q36" s="947"/>
      <c r="R36" s="13"/>
      <c r="S36" s="303"/>
      <c r="T36" s="304"/>
      <c r="U36" s="304"/>
      <c r="V36" s="304"/>
      <c r="W36" s="305"/>
      <c r="X36" s="285"/>
      <c r="Y36" s="286"/>
      <c r="Z36" s="287"/>
      <c r="AA36" s="950"/>
      <c r="AB36" s="951"/>
    </row>
    <row r="37" spans="1:34" ht="14.5" customHeight="1" x14ac:dyDescent="0.35">
      <c r="A37" s="53"/>
      <c r="B37" s="1010"/>
      <c r="C37" s="14"/>
      <c r="D37" s="435"/>
      <c r="E37" s="436"/>
      <c r="F37" s="436"/>
      <c r="G37" s="436"/>
      <c r="H37" s="437"/>
      <c r="I37" s="804"/>
      <c r="J37" s="805"/>
      <c r="K37" s="806"/>
      <c r="L37" s="962"/>
      <c r="M37" s="963"/>
      <c r="N37" s="16"/>
      <c r="P37" s="53"/>
      <c r="Q37" s="948"/>
      <c r="R37" s="14"/>
      <c r="S37" s="316"/>
      <c r="T37" s="317"/>
      <c r="U37" s="317"/>
      <c r="V37" s="317"/>
      <c r="W37" s="318"/>
      <c r="X37" s="297"/>
      <c r="Y37" s="298"/>
      <c r="Z37" s="688"/>
      <c r="AA37" s="381"/>
      <c r="AB37" s="233"/>
    </row>
    <row r="38" spans="1:34" ht="15" customHeight="1" x14ac:dyDescent="0.35">
      <c r="A38" s="53"/>
      <c r="B38" s="1011">
        <v>2955</v>
      </c>
      <c r="C38" s="43"/>
      <c r="D38" s="981"/>
      <c r="E38" s="982"/>
      <c r="F38" s="982"/>
      <c r="G38" s="982"/>
      <c r="H38" s="983"/>
      <c r="I38" s="271"/>
      <c r="J38" s="272"/>
      <c r="K38" s="273"/>
      <c r="L38" s="940"/>
      <c r="M38" s="941"/>
      <c r="N38" s="16"/>
      <c r="P38" s="53"/>
      <c r="Q38" s="934">
        <v>2949</v>
      </c>
      <c r="R38" s="47"/>
      <c r="S38" s="937"/>
      <c r="T38" s="938"/>
      <c r="U38" s="938"/>
      <c r="V38" s="938"/>
      <c r="W38" s="939"/>
      <c r="X38" s="907"/>
      <c r="Y38" s="908"/>
      <c r="Z38" s="909"/>
      <c r="AA38" s="940"/>
      <c r="AB38" s="941"/>
      <c r="AG38" s="932"/>
      <c r="AH38" s="933"/>
    </row>
    <row r="39" spans="1:34" ht="14.5" customHeight="1" x14ac:dyDescent="0.35">
      <c r="A39" s="53"/>
      <c r="B39" s="1012"/>
      <c r="C39" s="44"/>
      <c r="D39" s="423"/>
      <c r="E39" s="424"/>
      <c r="F39" s="424"/>
      <c r="G39" s="424"/>
      <c r="H39" s="425"/>
      <c r="I39" s="268"/>
      <c r="J39" s="269"/>
      <c r="K39" s="270"/>
      <c r="L39" s="942"/>
      <c r="M39" s="943"/>
      <c r="N39" s="16"/>
      <c r="P39" s="53"/>
      <c r="Q39" s="935"/>
      <c r="R39" s="47"/>
      <c r="S39" s="429"/>
      <c r="T39" s="430"/>
      <c r="U39" s="430"/>
      <c r="V39" s="430"/>
      <c r="W39" s="431"/>
      <c r="X39" s="411"/>
      <c r="Y39" s="412"/>
      <c r="Z39" s="413"/>
      <c r="AA39" s="942"/>
      <c r="AB39" s="943"/>
    </row>
    <row r="40" spans="1:34" ht="14.5" customHeight="1" x14ac:dyDescent="0.35">
      <c r="A40" s="53"/>
      <c r="B40" s="1012"/>
      <c r="C40" s="44"/>
      <c r="D40" s="420"/>
      <c r="E40" s="421"/>
      <c r="F40" s="421"/>
      <c r="G40" s="421"/>
      <c r="H40" s="422"/>
      <c r="I40" s="268"/>
      <c r="J40" s="269"/>
      <c r="K40" s="270"/>
      <c r="L40" s="957"/>
      <c r="M40" s="958"/>
      <c r="N40" s="16"/>
      <c r="P40" s="53"/>
      <c r="Q40" s="935"/>
      <c r="R40" s="44"/>
      <c r="S40" s="429"/>
      <c r="T40" s="430"/>
      <c r="U40" s="430"/>
      <c r="V40" s="430"/>
      <c r="W40" s="431"/>
      <c r="X40" s="411"/>
      <c r="Y40" s="412"/>
      <c r="Z40" s="413"/>
      <c r="AA40" s="942"/>
      <c r="AB40" s="943"/>
    </row>
    <row r="41" spans="1:34" ht="15" customHeight="1" x14ac:dyDescent="0.35">
      <c r="A41" s="53"/>
      <c r="B41" s="1013"/>
      <c r="C41" s="45"/>
      <c r="D41" s="679"/>
      <c r="E41" s="680"/>
      <c r="F41" s="680"/>
      <c r="G41" s="680"/>
      <c r="H41" s="681"/>
      <c r="I41" s="887"/>
      <c r="J41" s="888"/>
      <c r="K41" s="889"/>
      <c r="L41" s="944"/>
      <c r="M41" s="945"/>
      <c r="N41" s="16"/>
      <c r="P41" s="53"/>
      <c r="Q41" s="936"/>
      <c r="R41" s="45"/>
      <c r="S41" s="432"/>
      <c r="T41" s="433"/>
      <c r="U41" s="433"/>
      <c r="V41" s="433"/>
      <c r="W41" s="434"/>
      <c r="X41" s="417"/>
      <c r="Y41" s="418"/>
      <c r="Z41" s="419"/>
      <c r="AA41" s="944"/>
      <c r="AB41" s="945"/>
    </row>
    <row r="45" spans="1:34" x14ac:dyDescent="0.35">
      <c r="B45" s="527" t="s">
        <v>552</v>
      </c>
      <c r="C45" s="528"/>
      <c r="D45" s="528"/>
      <c r="E45" s="529"/>
      <c r="G45" s="527" t="s">
        <v>553</v>
      </c>
      <c r="H45" s="528"/>
      <c r="I45" s="528"/>
      <c r="J45" s="529"/>
    </row>
    <row r="46" spans="1:34" x14ac:dyDescent="0.35">
      <c r="B46" s="530"/>
      <c r="C46" s="531"/>
      <c r="D46" s="531"/>
      <c r="E46" s="532"/>
      <c r="G46" s="530"/>
      <c r="H46" s="531"/>
      <c r="I46" s="531"/>
      <c r="J46" s="532"/>
    </row>
    <row r="48" spans="1:34" ht="15.5" x14ac:dyDescent="0.35">
      <c r="B48" s="536" t="s">
        <v>8</v>
      </c>
      <c r="C48" s="536"/>
      <c r="D48" s="537" t="s">
        <v>405</v>
      </c>
      <c r="E48" s="538"/>
      <c r="G48" s="536" t="s">
        <v>8</v>
      </c>
      <c r="H48" s="536"/>
      <c r="I48" s="537" t="s">
        <v>405</v>
      </c>
      <c r="J48" s="538"/>
    </row>
    <row r="49" spans="2:10" ht="15.5" x14ac:dyDescent="0.35">
      <c r="B49" s="542" t="s">
        <v>12</v>
      </c>
      <c r="C49" s="542"/>
      <c r="D49" s="543">
        <f>COUNTIF($L$10:$M$41,"GEL")</f>
        <v>0</v>
      </c>
      <c r="E49" s="544"/>
      <c r="G49" s="542" t="s">
        <v>12</v>
      </c>
      <c r="H49" s="542"/>
      <c r="I49" s="543">
        <f>COUNTIF($AA$10:$AB$41,"GEL")</f>
        <v>0</v>
      </c>
      <c r="J49" s="544"/>
    </row>
    <row r="50" spans="2:10" ht="15.5" x14ac:dyDescent="0.35">
      <c r="B50" s="542" t="s">
        <v>255</v>
      </c>
      <c r="C50" s="542"/>
      <c r="D50" s="543">
        <f>COUNTIF($L$10:$M$41,"CONSELMAR")</f>
        <v>0</v>
      </c>
      <c r="E50" s="544"/>
      <c r="G50" s="542" t="s">
        <v>255</v>
      </c>
      <c r="H50" s="542"/>
      <c r="I50" s="543">
        <f>COUNTIF($AA$10:$AB$41,"CONSELMAR")</f>
        <v>0</v>
      </c>
      <c r="J50" s="544"/>
    </row>
    <row r="51" spans="2:10" ht="15.5" x14ac:dyDescent="0.35">
      <c r="B51" s="543" t="s">
        <v>70</v>
      </c>
      <c r="C51" s="544"/>
      <c r="D51" s="543">
        <f>COUNTIF($L$10:$M$41,"BRASTRAN")</f>
        <v>0</v>
      </c>
      <c r="E51" s="544"/>
      <c r="G51" s="543" t="s">
        <v>70</v>
      </c>
      <c r="H51" s="544"/>
      <c r="I51" s="543">
        <f>COUNTIF($AA$10:$AB$41,"BRASTRAN")</f>
        <v>0</v>
      </c>
      <c r="J51" s="544"/>
    </row>
    <row r="52" spans="2:10" ht="15.5" x14ac:dyDescent="0.35">
      <c r="B52" s="543"/>
      <c r="C52" s="544"/>
      <c r="D52" s="543"/>
      <c r="E52" s="544"/>
      <c r="G52" s="543" t="s">
        <v>554</v>
      </c>
      <c r="H52" s="544"/>
      <c r="I52" s="543">
        <f>COUNTIF($AA$10:$AB$41,"LANÇA LOCAÇÃO")</f>
        <v>0</v>
      </c>
      <c r="J52" s="544"/>
    </row>
    <row r="53" spans="2:10" ht="15.5" x14ac:dyDescent="0.35">
      <c r="B53" s="543"/>
      <c r="C53" s="544"/>
      <c r="D53" s="543"/>
      <c r="E53" s="544"/>
      <c r="G53" s="543" t="s">
        <v>408</v>
      </c>
      <c r="H53" s="544"/>
      <c r="I53" s="543">
        <f>COUNTIF($AA$10:$AB$41,"LANÇA LOCAÇÃO")</f>
        <v>0</v>
      </c>
      <c r="J53" s="544"/>
    </row>
    <row r="54" spans="2:10" ht="15.5" x14ac:dyDescent="0.35">
      <c r="B54" s="543"/>
      <c r="C54" s="544"/>
      <c r="D54" s="543"/>
      <c r="E54" s="544"/>
      <c r="G54" s="543"/>
      <c r="H54" s="544"/>
      <c r="I54" s="543"/>
      <c r="J54" s="544"/>
    </row>
    <row r="55" spans="2:10" ht="15.5" x14ac:dyDescent="0.35">
      <c r="B55" s="50"/>
      <c r="C55" s="50"/>
      <c r="D55" s="50"/>
      <c r="E55" s="50"/>
      <c r="F55" s="7"/>
      <c r="G55" s="50"/>
      <c r="H55" s="50"/>
      <c r="I55" s="50"/>
      <c r="J55" s="50"/>
    </row>
    <row r="56" spans="2:10" ht="15.5" x14ac:dyDescent="0.35">
      <c r="B56" s="546" t="s">
        <v>410</v>
      </c>
      <c r="C56" s="546"/>
      <c r="D56" s="546">
        <v>32</v>
      </c>
      <c r="E56" s="546"/>
      <c r="F56" s="7"/>
      <c r="G56" s="546" t="s">
        <v>410</v>
      </c>
      <c r="H56" s="546"/>
      <c r="I56" s="546">
        <v>32</v>
      </c>
      <c r="J56" s="546"/>
    </row>
    <row r="57" spans="2:10" ht="15.5" x14ac:dyDescent="0.35">
      <c r="B57" s="547" t="s">
        <v>411</v>
      </c>
      <c r="C57" s="547"/>
      <c r="D57" s="547">
        <f>SUM(D49:E54)</f>
        <v>0</v>
      </c>
      <c r="E57" s="547"/>
      <c r="F57" s="7"/>
      <c r="G57" s="547" t="s">
        <v>411</v>
      </c>
      <c r="H57" s="547"/>
      <c r="I57" s="547">
        <f>SUM(I49:J54)</f>
        <v>0</v>
      </c>
      <c r="J57" s="547"/>
    </row>
    <row r="58" spans="2:10" ht="15.5" x14ac:dyDescent="0.35">
      <c r="B58" s="545" t="s">
        <v>412</v>
      </c>
      <c r="C58" s="545"/>
      <c r="D58" s="545">
        <f>D56-D57</f>
        <v>32</v>
      </c>
      <c r="E58" s="545"/>
      <c r="F58" s="7"/>
      <c r="G58" s="545" t="s">
        <v>412</v>
      </c>
      <c r="H58" s="545"/>
      <c r="I58" s="545">
        <v>32</v>
      </c>
      <c r="J58" s="545"/>
    </row>
  </sheetData>
  <mergeCells count="262">
    <mergeCell ref="B52:C52"/>
    <mergeCell ref="D52:E52"/>
    <mergeCell ref="G52:H52"/>
    <mergeCell ref="I52:J52"/>
    <mergeCell ref="B57:C57"/>
    <mergeCell ref="D57:E57"/>
    <mergeCell ref="G57:H57"/>
    <mergeCell ref="I57:J57"/>
    <mergeCell ref="B58:C58"/>
    <mergeCell ref="D58:E58"/>
    <mergeCell ref="G58:H58"/>
    <mergeCell ref="I58:J58"/>
    <mergeCell ref="B53:C53"/>
    <mergeCell ref="D53:E53"/>
    <mergeCell ref="G53:H53"/>
    <mergeCell ref="I53:J53"/>
    <mergeCell ref="B54:C54"/>
    <mergeCell ref="D54:E54"/>
    <mergeCell ref="G54:H54"/>
    <mergeCell ref="I54:J54"/>
    <mergeCell ref="B56:C56"/>
    <mergeCell ref="D56:E56"/>
    <mergeCell ref="G56:H56"/>
    <mergeCell ref="I56:J56"/>
    <mergeCell ref="B49:C49"/>
    <mergeCell ref="D49:E49"/>
    <mergeCell ref="G49:H49"/>
    <mergeCell ref="I49:J49"/>
    <mergeCell ref="B50:C50"/>
    <mergeCell ref="D50:E50"/>
    <mergeCell ref="G50:H50"/>
    <mergeCell ref="I50:J50"/>
    <mergeCell ref="B51:C51"/>
    <mergeCell ref="D51:E51"/>
    <mergeCell ref="G51:H51"/>
    <mergeCell ref="I51:J51"/>
    <mergeCell ref="D13:H13"/>
    <mergeCell ref="I13:K13"/>
    <mergeCell ref="L13:M13"/>
    <mergeCell ref="I11:K11"/>
    <mergeCell ref="L11:M11"/>
    <mergeCell ref="D12:H12"/>
    <mergeCell ref="B45:E46"/>
    <mergeCell ref="G45:J46"/>
    <mergeCell ref="B48:C48"/>
    <mergeCell ref="D48:E48"/>
    <mergeCell ref="G48:H48"/>
    <mergeCell ref="I48:J48"/>
    <mergeCell ref="B22:B25"/>
    <mergeCell ref="D22:H22"/>
    <mergeCell ref="L22:M22"/>
    <mergeCell ref="D23:H23"/>
    <mergeCell ref="L23:M23"/>
    <mergeCell ref="B18:B21"/>
    <mergeCell ref="D18:H18"/>
    <mergeCell ref="I18:K18"/>
    <mergeCell ref="L18:M18"/>
    <mergeCell ref="I20:K20"/>
    <mergeCell ref="L20:M20"/>
    <mergeCell ref="D21:H21"/>
    <mergeCell ref="B1:N3"/>
    <mergeCell ref="D17:H17"/>
    <mergeCell ref="I17:K17"/>
    <mergeCell ref="L17:M17"/>
    <mergeCell ref="D15:H15"/>
    <mergeCell ref="I15:K15"/>
    <mergeCell ref="L15:M15"/>
    <mergeCell ref="B14:B17"/>
    <mergeCell ref="D14:H14"/>
    <mergeCell ref="I14:K14"/>
    <mergeCell ref="L14:M14"/>
    <mergeCell ref="D16:H16"/>
    <mergeCell ref="I16:K16"/>
    <mergeCell ref="L16:M16"/>
    <mergeCell ref="B6:D8"/>
    <mergeCell ref="E6:M8"/>
    <mergeCell ref="D9:H9"/>
    <mergeCell ref="I9:K9"/>
    <mergeCell ref="L9:M9"/>
    <mergeCell ref="B10:B13"/>
    <mergeCell ref="D10:H10"/>
    <mergeCell ref="I10:K10"/>
    <mergeCell ref="L10:M10"/>
    <mergeCell ref="D11:H11"/>
    <mergeCell ref="I21:K21"/>
    <mergeCell ref="L21:M21"/>
    <mergeCell ref="D20:H20"/>
    <mergeCell ref="I19:K19"/>
    <mergeCell ref="L19:M19"/>
    <mergeCell ref="I22:K22"/>
    <mergeCell ref="I23:K23"/>
    <mergeCell ref="I24:K24"/>
    <mergeCell ref="I25:K25"/>
    <mergeCell ref="B30:B33"/>
    <mergeCell ref="D30:H30"/>
    <mergeCell ref="L30:M30"/>
    <mergeCell ref="D31:H31"/>
    <mergeCell ref="L31:M31"/>
    <mergeCell ref="B26:B29"/>
    <mergeCell ref="D28:H28"/>
    <mergeCell ref="I28:K28"/>
    <mergeCell ref="L28:M28"/>
    <mergeCell ref="D29:H29"/>
    <mergeCell ref="I29:K29"/>
    <mergeCell ref="L29:M29"/>
    <mergeCell ref="D26:H26"/>
    <mergeCell ref="I26:K26"/>
    <mergeCell ref="L26:M26"/>
    <mergeCell ref="I31:K31"/>
    <mergeCell ref="I30:K30"/>
    <mergeCell ref="I33:K33"/>
    <mergeCell ref="I32:K32"/>
    <mergeCell ref="L27:M27"/>
    <mergeCell ref="D27:H27"/>
    <mergeCell ref="B38:B41"/>
    <mergeCell ref="D38:H38"/>
    <mergeCell ref="L38:M38"/>
    <mergeCell ref="D39:H39"/>
    <mergeCell ref="L39:M39"/>
    <mergeCell ref="B34:B37"/>
    <mergeCell ref="D34:H34"/>
    <mergeCell ref="I34:K34"/>
    <mergeCell ref="L34:M34"/>
    <mergeCell ref="D36:H36"/>
    <mergeCell ref="I36:K36"/>
    <mergeCell ref="L36:M36"/>
    <mergeCell ref="D37:H37"/>
    <mergeCell ref="I37:K37"/>
    <mergeCell ref="L37:M37"/>
    <mergeCell ref="D35:H35"/>
    <mergeCell ref="I35:K35"/>
    <mergeCell ref="L35:M35"/>
    <mergeCell ref="I41:K41"/>
    <mergeCell ref="I40:K40"/>
    <mergeCell ref="I39:K39"/>
    <mergeCell ref="I38:K38"/>
    <mergeCell ref="Q6:S8"/>
    <mergeCell ref="T6:AB8"/>
    <mergeCell ref="S9:W9"/>
    <mergeCell ref="X9:Z9"/>
    <mergeCell ref="AA9:AB9"/>
    <mergeCell ref="D40:H40"/>
    <mergeCell ref="L40:M40"/>
    <mergeCell ref="D41:H41"/>
    <mergeCell ref="L41:M41"/>
    <mergeCell ref="D32:H32"/>
    <mergeCell ref="L32:M32"/>
    <mergeCell ref="D33:H33"/>
    <mergeCell ref="L33:M33"/>
    <mergeCell ref="D24:H24"/>
    <mergeCell ref="L24:M24"/>
    <mergeCell ref="D25:H25"/>
    <mergeCell ref="L25:M25"/>
    <mergeCell ref="I12:K12"/>
    <mergeCell ref="L12:M12"/>
    <mergeCell ref="Q10:Q13"/>
    <mergeCell ref="S10:W10"/>
    <mergeCell ref="X10:Z10"/>
    <mergeCell ref="AA10:AB10"/>
    <mergeCell ref="S11:W11"/>
    <mergeCell ref="X11:Z11"/>
    <mergeCell ref="AA11:AB11"/>
    <mergeCell ref="S12:W12"/>
    <mergeCell ref="X12:Z12"/>
    <mergeCell ref="AA12:AB12"/>
    <mergeCell ref="S13:W13"/>
    <mergeCell ref="X13:Z13"/>
    <mergeCell ref="AA13:AB13"/>
    <mergeCell ref="Q14:Q17"/>
    <mergeCell ref="S14:W14"/>
    <mergeCell ref="X14:Z14"/>
    <mergeCell ref="AA14:AB14"/>
    <mergeCell ref="S15:W15"/>
    <mergeCell ref="X15:Z15"/>
    <mergeCell ref="AA15:AB15"/>
    <mergeCell ref="S16:W16"/>
    <mergeCell ref="X16:Z16"/>
    <mergeCell ref="AA16:AB16"/>
    <mergeCell ref="S17:W17"/>
    <mergeCell ref="X17:Z17"/>
    <mergeCell ref="AA17:AB17"/>
    <mergeCell ref="Q18:Q21"/>
    <mergeCell ref="S18:W18"/>
    <mergeCell ref="X18:Z18"/>
    <mergeCell ref="AA18:AB18"/>
    <mergeCell ref="S19:W19"/>
    <mergeCell ref="X19:Z19"/>
    <mergeCell ref="AA19:AB19"/>
    <mergeCell ref="S20:W20"/>
    <mergeCell ref="X20:Z20"/>
    <mergeCell ref="AA20:AB20"/>
    <mergeCell ref="S21:W21"/>
    <mergeCell ref="X21:Z21"/>
    <mergeCell ref="AA21:AB21"/>
    <mergeCell ref="Q22:Q25"/>
    <mergeCell ref="S22:W22"/>
    <mergeCell ref="AA22:AB22"/>
    <mergeCell ref="S23:W23"/>
    <mergeCell ref="AA23:AB23"/>
    <mergeCell ref="S24:W24"/>
    <mergeCell ref="AA24:AB24"/>
    <mergeCell ref="S25:W25"/>
    <mergeCell ref="AA25:AB25"/>
    <mergeCell ref="X22:Z22"/>
    <mergeCell ref="X23:Z23"/>
    <mergeCell ref="X24:Z24"/>
    <mergeCell ref="X25:Z25"/>
    <mergeCell ref="Q26:Q29"/>
    <mergeCell ref="S26:W26"/>
    <mergeCell ref="X26:Z26"/>
    <mergeCell ref="AA26:AB26"/>
    <mergeCell ref="S27:W27"/>
    <mergeCell ref="X27:Z27"/>
    <mergeCell ref="AA27:AB27"/>
    <mergeCell ref="S28:W28"/>
    <mergeCell ref="X28:Z28"/>
    <mergeCell ref="AA28:AB28"/>
    <mergeCell ref="S29:W29"/>
    <mergeCell ref="X29:Z29"/>
    <mergeCell ref="AA29:AB29"/>
    <mergeCell ref="AA36:AB36"/>
    <mergeCell ref="S37:W37"/>
    <mergeCell ref="X37:Z37"/>
    <mergeCell ref="AA37:AB37"/>
    <mergeCell ref="AA34:AB34"/>
    <mergeCell ref="Q30:Q33"/>
    <mergeCell ref="S30:W30"/>
    <mergeCell ref="AA30:AB30"/>
    <mergeCell ref="S31:W31"/>
    <mergeCell ref="AA31:AB31"/>
    <mergeCell ref="S32:W32"/>
    <mergeCell ref="AA32:AB32"/>
    <mergeCell ref="S33:W33"/>
    <mergeCell ref="AA33:AB33"/>
    <mergeCell ref="X30:Z30"/>
    <mergeCell ref="X31:Z31"/>
    <mergeCell ref="X32:Z32"/>
    <mergeCell ref="X33:Z33"/>
    <mergeCell ref="R3:V3"/>
    <mergeCell ref="W3:Y3"/>
    <mergeCell ref="AG38:AH38"/>
    <mergeCell ref="Q38:Q41"/>
    <mergeCell ref="S38:W38"/>
    <mergeCell ref="AA38:AB38"/>
    <mergeCell ref="S39:W39"/>
    <mergeCell ref="AA39:AB39"/>
    <mergeCell ref="S40:W40"/>
    <mergeCell ref="AA40:AB40"/>
    <mergeCell ref="S41:W41"/>
    <mergeCell ref="AA41:AB41"/>
    <mergeCell ref="X38:Z38"/>
    <mergeCell ref="X39:Z39"/>
    <mergeCell ref="X40:Z40"/>
    <mergeCell ref="X41:Z41"/>
    <mergeCell ref="Q34:Q37"/>
    <mergeCell ref="S34:W34"/>
    <mergeCell ref="X34:Z34"/>
    <mergeCell ref="AA35:AB35"/>
    <mergeCell ref="S35:W35"/>
    <mergeCell ref="X35:Z35"/>
    <mergeCell ref="S36:W36"/>
    <mergeCell ref="X36:Z36"/>
  </mergeCells>
  <conditionalFormatting sqref="AA35:AB35">
    <cfRule type="containsText" dxfId="11" priority="1" operator="containsText" text="LUPATINI">
      <formula>NOT(ISERROR(SEARCH("LUPATINI",AA35)))</formula>
    </cfRule>
  </conditionalFormatting>
  <conditionalFormatting sqref="AA37:AB37">
    <cfRule type="containsText" dxfId="5" priority="7" operator="containsText" text="LUPATINI">
      <formula>NOT(ISERROR(SEARCH("LUPATINI",AA37)))</formula>
    </cfRule>
  </conditionalFormatting>
  <pageMargins left="0" right="0" top="0.78740157480314965" bottom="0.78740157480314965" header="0.31496062992125984" footer="0.31496062992125984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46" operator="containsText" id="{63ED3C4A-88E1-4163-B2A1-C3841F2DE88B}">
            <xm:f>NOT(ISERROR(SEARCH(#REF!,L10)))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745" operator="containsText" id="{9933AAD0-006E-4758-B797-2C5DBCC301A9}">
            <xm:f>NOT(ISERROR(SEARCH(#REF!,L10)))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744" operator="containsText" id="{D5F9AD00-AA3C-4823-9BFD-90CD972EC4AD}">
            <xm:f>NOT(ISERROR(SEARCH(#REF!,L10)))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743" operator="containsText" id="{3AA43EB9-1992-47CB-BE53-340DB73DE0B2}">
            <xm:f>NOT(ISERROR(SEARCH(#REF!,L10)))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747" operator="containsText" id="{5F0D0C2D-4A24-4726-8E81-6E3D6456A117}">
            <xm:f>NOT(ISERROR(SEARCH(#REF!,L10)))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L10:M13 AA10:AB16 L15:M26 AA26:AB29 L28:M34 L36:M41 AA38:AB41</xm:sqref>
        </x14:conditionalFormatting>
        <x14:conditionalFormatting xmlns:xm="http://schemas.microsoft.com/office/excel/2006/main">
          <x14:cfRule type="containsText" priority="33" operator="containsText" id="{D63E34A0-3D2A-42FC-B4C1-793EA6FC5375}">
            <xm:f>NOT(ISERROR(SEARCH($V$396,L14)))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4" operator="containsText" id="{E3AF4984-1866-4524-88D5-FC731EF06322}">
            <xm:f>NOT(ISERROR(SEARCH($V$402,L14)))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5" operator="containsText" id="{C4F976FA-B07E-4983-BC2B-C62A39A0B28C}">
            <xm:f>NOT(ISERROR(SEARCH($V$400,L14)))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36" operator="containsText" id="{8FC2A135-290D-4FC9-AB9A-43B6C08F8275}">
            <xm:f>NOT(ISERROR(SEARCH($V$399,L14)))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7" operator="containsText" id="{0D53A0C3-D2F0-4528-90A8-AC25A6C74062}">
            <xm:f>NOT(ISERROR(SEARCH($V$397,L14)))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L14:M14</xm:sqref>
        </x14:conditionalFormatting>
        <x14:conditionalFormatting xmlns:xm="http://schemas.microsoft.com/office/excel/2006/main">
          <x14:cfRule type="containsText" priority="78" operator="containsText" id="{E9F9D0CF-BB58-48CC-B556-CC0F33BB322D}">
            <xm:f>NOT(ISERROR(SEARCH($V$417,L35)))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77" operator="containsText" id="{2F65870E-C2BA-4383-879B-83006DA6E65B}">
            <xm:f>NOT(ISERROR(SEARCH($V$419,L35)))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76" operator="containsText" id="{9E50AAE3-45C7-47FB-B693-792B4E00A34B}">
            <xm:f>NOT(ISERROR(SEARCH($V$420,L35)))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75" operator="containsText" id="{36BABCAF-3D65-4FB7-AC57-432CCB457014}">
            <xm:f>NOT(ISERROR(SEARCH($V$422,L35)))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74" operator="containsText" id="{263F4EFD-F3BD-4239-B412-00162D55DD0C}">
            <xm:f>NOT(ISERROR(SEARCH($V$416,L35)))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L35:M35</xm:sqref>
        </x14:conditionalFormatting>
        <x14:conditionalFormatting xmlns:xm="http://schemas.microsoft.com/office/excel/2006/main">
          <x14:cfRule type="containsText" priority="52" operator="containsText" id="{E35EDA51-0E26-4FAB-A636-A8C006BBF7A3}">
            <xm:f>NOT(ISERROR(SEARCH($V$397,AA17)))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B8024EAC-44F9-485D-8D14-5D288FC68D29}">
            <xm:f>NOT(ISERROR(SEARCH($V$399,AA17)))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8" operator="containsText" id="{67EA64BC-1FCF-4B10-82A9-3E70217E1401}">
            <xm:f>NOT(ISERROR(SEARCH($V$396,AA17)))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9" operator="containsText" id="{5558A213-9A26-4D98-9971-77A7799C3E6A}">
            <xm:f>NOT(ISERROR(SEARCH($V$402,AA17)))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0" operator="containsText" id="{D029294A-F97A-4657-9882-D754CD9FDFCC}">
            <xm:f>NOT(ISERROR(SEARCH($V$400,AA17)))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AA17:AB17</xm:sqref>
        </x14:conditionalFormatting>
        <x14:conditionalFormatting xmlns:xm="http://schemas.microsoft.com/office/excel/2006/main">
          <x14:cfRule type="containsText" priority="108" operator="containsText" id="{17254C50-2BAD-4E1B-AA16-3342BDF7E9D1}">
            <xm:f>NOT(ISERROR(SEARCH($V$416,AA18)))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06" operator="containsText" id="{C3C1F6A3-F574-423A-ABB8-DB654D1E874A}">
            <xm:f>NOT(ISERROR(SEARCH($V$419,AA18)))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04" operator="containsText" id="{F55ED62D-1ABB-4E90-A918-99D68D09218D}">
            <xm:f>NOT(ISERROR(SEARCH($V$415,AA18)))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05" operator="containsText" id="{E5A95F35-6333-438E-BD5A-70C455B70BF1}">
            <xm:f>NOT(ISERROR(SEARCH($V$421,AA18)))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07" operator="containsText" id="{C29CA574-0719-41CD-9108-9F208992CC6D}">
            <xm:f>NOT(ISERROR(SEARCH($V$418,AA18)))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AA18:AB19 AA21:AB23</xm:sqref>
        </x14:conditionalFormatting>
        <x14:conditionalFormatting xmlns:xm="http://schemas.microsoft.com/office/excel/2006/main">
          <x14:cfRule type="containsText" priority="63" operator="containsText" id="{B8A1E26E-68FF-4041-8AAA-7DBE7E84FE56}">
            <xm:f>NOT(ISERROR(SEARCH($V$416,AA20)))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7" operator="containsText" id="{5EF535DE-4036-47A6-BB0B-9D4C54CF5CEC}">
            <xm:f>NOT(ISERROR(SEARCH($V$417,AA20)))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68" operator="containsText" id="{3860215F-9DBE-4B67-8FE8-B4AC6DC5323B}">
            <xm:f>NOT(ISERROR(SEARCH($V$418,AA20)))</xm:f>
            <xm:f>$V$418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14:cfRule type="containsText" priority="66" operator="containsText" id="{FFB043F0-6CB0-433A-B815-4FA0C6650C9C}">
            <xm:f>NOT(ISERROR(SEARCH($V$419,AA20)))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65" operator="containsText" id="{0EDBC839-823F-47D2-95E4-6F8B23A7F19E}">
            <xm:f>NOT(ISERROR(SEARCH($V$420,AA20)))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64" operator="containsText" id="{415D2FEA-FBFE-427C-A695-1BC9F6402F0C}">
            <xm:f>NOT(ISERROR(SEARCH($V$422,AA20)))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AA20:AB20</xm:sqref>
        </x14:conditionalFormatting>
        <x14:conditionalFormatting xmlns:xm="http://schemas.microsoft.com/office/excel/2006/main">
          <x14:cfRule type="containsText" priority="79" operator="containsText" id="{0D803B2D-A9A3-47FC-B764-45F66A286CD4}">
            <xm:f>NOT(ISERROR(SEARCH($V$416,AA24)))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0" operator="containsText" id="{C9C456F7-1F27-48FA-91FC-2CF2591FEAF7}">
            <xm:f>NOT(ISERROR(SEARCH($V$422,AA24)))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1" operator="containsText" id="{D0C2810B-7CCD-4DD1-85D0-0DF6546C25DB}">
            <xm:f>NOT(ISERROR(SEARCH($V$420,AA24)))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82" operator="containsText" id="{7C5C2C67-3F63-41C5-B139-8B3D744705EA}">
            <xm:f>NOT(ISERROR(SEARCH($V$419,AA24)))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83" operator="containsText" id="{B4BEAF83-D7D0-48AA-887E-54A6D24FDA88}">
            <xm:f>NOT(ISERROR(SEARCH($V$417,AA24)))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AA24:AB25</xm:sqref>
        </x14:conditionalFormatting>
        <x14:conditionalFormatting xmlns:xm="http://schemas.microsoft.com/office/excel/2006/main">
          <x14:cfRule type="containsText" priority="2" operator="containsText" id="{17CA2D1E-29BC-42BF-93F8-AAB447E2F959}">
            <xm:f>NOT(ISERROR(SEARCH($V$415,AA30)))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31C272F3-74E3-4573-B5C8-09CBE5A2646F}">
            <xm:f>NOT(ISERROR(SEARCH($V$421,AA30)))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4" operator="containsText" id="{1E2658C5-4561-4296-ACD8-78412572AAC9}">
            <xm:f>NOT(ISERROR(SEARCH($V$419,AA30)))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5" operator="containsText" id="{BE8F20D3-E159-42A0-9FBD-B5B8D058CCD1}">
            <xm:f>NOT(ISERROR(SEARCH($V$418,AA30)))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6" operator="containsText" id="{67251995-086C-4718-87F3-D1287AE6C92E}">
            <xm:f>NOT(ISERROR(SEARCH($V$416,AA30)))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AA30:AB35</xm:sqref>
        </x14:conditionalFormatting>
        <x14:conditionalFormatting xmlns:xm="http://schemas.microsoft.com/office/excel/2006/main">
          <x14:cfRule type="containsText" priority="8" operator="containsText" id="{C1F12E39-2DE2-4992-9440-EAE9DF4C5A5D}">
            <xm:f>NOT(ISERROR(SEARCH($V$415,AA36)))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2" operator="containsText" id="{01C22598-CEF5-43FC-83CF-C857E8C833EE}">
            <xm:f>NOT(ISERROR(SEARCH($V$416,AA36)))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1" operator="containsText" id="{32F5885C-1AA0-4146-AC84-4AF9666222AD}">
            <xm:f>NOT(ISERROR(SEARCH($V$418,AA36)))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0" operator="containsText" id="{AFC80CCE-A01E-4E6C-A17E-6CC96D198616}">
            <xm:f>NOT(ISERROR(SEARCH($V$419,AA36)))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" operator="containsText" id="{633239F7-2892-489C-A0BA-EC4EEA31DF18}">
            <xm:f>NOT(ISERROR(SEARCH($V$421,AA36)))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AA36:AB37</xm:sqref>
        </x14:conditionalFormatting>
        <x14:conditionalFormatting xmlns:xm="http://schemas.microsoft.com/office/excel/2006/main">
          <x14:cfRule type="containsText" priority="169" operator="containsText" id="{AB33B218-3E9E-4465-98EF-63E29ADC8A56}">
            <xm:f>NOT(ISERROR(SEARCH(#REF!,AG38)))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70" operator="containsText" id="{BCBB828B-ECD6-4ECC-B773-D02F0628CF9C}">
            <xm:f>NOT(ISERROR(SEARCH(#REF!,AG38)))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71" operator="containsText" id="{079E395F-36A1-4006-A13C-B83A5833642A}">
            <xm:f>NOT(ISERROR(SEARCH(#REF!,AG38)))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73" operator="containsText" id="{54219E76-79D9-43BD-97B7-B436E6B44299}">
            <xm:f>NOT(ISERROR(SEARCH(#REF!,AG38)))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72" operator="containsText" id="{1CB66272-CCA2-48AF-B10B-E710CC927D8B}">
            <xm:f>NOT(ISERROR(SEARCH(#REF!,AG38)))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AG38:AH38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BLOCOS ALOJAMENTO</vt:lpstr>
      <vt:lpstr>BLOCOS ADM</vt:lpstr>
      <vt:lpstr>RESUMO (2)</vt:lpstr>
      <vt:lpstr>BLOCOS CONTÊINER</vt:lpstr>
      <vt:lpstr>'BLOCOS ALOJAMENTO'!Area_de_impressao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Tiago Vidal</cp:lastModifiedBy>
  <cp:revision/>
  <cp:lastPrinted>2026-09-02T11:02:42Z</cp:lastPrinted>
  <dcterms:created xsi:type="dcterms:W3CDTF">2011-05-16T15:12:51Z</dcterms:created>
  <dcterms:modified xsi:type="dcterms:W3CDTF">2026-09-24T19:35:59Z</dcterms:modified>
  <cp:category/>
  <cp:contentStatus/>
</cp:coreProperties>
</file>